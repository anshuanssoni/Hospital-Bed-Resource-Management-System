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2.xml" ContentType="application/vnd.openxmlformats-officedocument.drawing+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Anshul\Desktop\Excel Projects\"/>
    </mc:Choice>
  </mc:AlternateContent>
  <xr:revisionPtr revIDLastSave="0" documentId="13_ncr:1_{E3065AB7-E41F-47C3-BF55-E04916E91C88}" xr6:coauthVersionLast="47" xr6:coauthVersionMax="47" xr10:uidLastSave="{00000000-0000-0000-0000-000000000000}"/>
  <bookViews>
    <workbookView xWindow="-120" yWindow="-120" windowWidth="29040" windowHeight="15840" tabRatio="856" activeTab="7" xr2:uid="{00000000-000D-0000-FFFF-FFFF00000000}"/>
  </bookViews>
  <sheets>
    <sheet name="Pivot_Data" sheetId="9" r:id="rId1"/>
    <sheet name="Master_Data" sheetId="7" r:id="rId2"/>
    <sheet name="Doctor_Master" sheetId="5" r:id="rId3"/>
    <sheet name="Bed_Master" sheetId="4" r:id="rId4"/>
    <sheet name="Billing_Master" sheetId="10" r:id="rId5"/>
    <sheet name="Insurance_Master" sheetId="11" r:id="rId6"/>
    <sheet name="Patient_Form" sheetId="2" r:id="rId7"/>
    <sheet name="Patient_Data" sheetId="3" r:id="rId8"/>
    <sheet name="Allocation_Engine" sheetId="8" r:id="rId9"/>
    <sheet name="Billing_Logic" sheetId="6" r:id="rId10"/>
    <sheet name="Hospital_Dashboard" sheetId="1" r:id="rId11"/>
  </sheets>
  <definedNames>
    <definedName name="NativeTimeline_Admission_Date">#N/A</definedName>
    <definedName name="Slicer_Admission_Type">#N/A</definedName>
    <definedName name="Slicer_Assigned_Doctor_Name">#N/A</definedName>
    <definedName name="Slicer_Availability_Status">#N/A</definedName>
    <definedName name="Slicer_Bed_Status">#N/A</definedName>
    <definedName name="Slicer_Bed_Type">#N/A</definedName>
    <definedName name="Slicer_Bed_Type1">#N/A</definedName>
    <definedName name="Slicer_Department">#N/A</definedName>
    <definedName name="Slicer_Department1">#N/A</definedName>
    <definedName name="Slicer_Department2">#N/A</definedName>
    <definedName name="Slicer_Doctor_Name">#N/A</definedName>
    <definedName name="Slicer_Gender">#N/A</definedName>
    <definedName name="Slicer_Patient_Name">#N/A</definedName>
    <definedName name="Slicer_Patient_Status">#N/A</definedName>
  </definedNames>
  <calcPr calcId="191029"/>
  <pivotCaches>
    <pivotCache cacheId="8" r:id="rId12"/>
    <pivotCache cacheId="14" r:id="rId13"/>
    <pivotCache cacheId="25"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9" i="1" l="1"/>
  <c r="W13" i="1"/>
  <c r="B7" i="8"/>
  <c r="C7" i="8"/>
  <c r="D7" i="8"/>
  <c r="E7" i="8"/>
  <c r="F7" i="8"/>
  <c r="G7" i="8"/>
  <c r="H7" i="8"/>
  <c r="A7" i="8"/>
  <c r="A6" i="8"/>
  <c r="H6" i="8" s="1"/>
  <c r="G8" i="6"/>
  <c r="G7" i="6"/>
  <c r="G6" i="6"/>
  <c r="D10" i="6"/>
  <c r="K4" i="6" s="1"/>
  <c r="D8" i="6"/>
  <c r="D9" i="6" s="1"/>
  <c r="G5" i="6" s="1"/>
  <c r="D7" i="6"/>
  <c r="D6" i="6"/>
  <c r="D5" i="6"/>
  <c r="A4" i="8"/>
  <c r="B4" i="8" s="1"/>
  <c r="A5" i="8"/>
  <c r="B5" i="8" s="1"/>
  <c r="F3" i="5"/>
  <c r="G3" i="5" s="1"/>
  <c r="F4" i="5"/>
  <c r="G4" i="5" s="1"/>
  <c r="F5" i="5"/>
  <c r="G5" i="5" s="1"/>
  <c r="F6" i="5"/>
  <c r="G6" i="5" s="1"/>
  <c r="F7" i="5"/>
  <c r="G7" i="5" s="1"/>
  <c r="F8" i="5"/>
  <c r="G8" i="5" s="1"/>
  <c r="F9" i="5"/>
  <c r="G9" i="5" s="1"/>
  <c r="F10" i="5"/>
  <c r="G10" i="5" s="1"/>
  <c r="F11" i="5"/>
  <c r="G11" i="5" s="1"/>
  <c r="F2" i="5"/>
  <c r="G2" i="5" s="1"/>
  <c r="A3" i="8"/>
  <c r="B3" i="8" s="1"/>
  <c r="S13" i="1"/>
  <c r="W25" i="1" s="1"/>
  <c r="O13" i="1"/>
  <c r="G13" i="1"/>
  <c r="S7" i="1"/>
  <c r="W22" i="1" s="1"/>
  <c r="O7" i="1"/>
  <c r="K7" i="1"/>
  <c r="G7" i="1"/>
  <c r="AA3" i="1"/>
  <c r="A2" i="8"/>
  <c r="H2" i="8" s="1"/>
  <c r="D17" i="2"/>
  <c r="D9" i="2"/>
  <c r="G6" i="8" l="1"/>
  <c r="F6" i="8"/>
  <c r="E6" i="8"/>
  <c r="D6" i="8"/>
  <c r="C6" i="8"/>
  <c r="B6" i="8"/>
  <c r="K5" i="6"/>
  <c r="G4" i="6"/>
  <c r="G10" i="6" s="1"/>
  <c r="E5" i="8"/>
  <c r="E4" i="8"/>
  <c r="H5" i="8"/>
  <c r="D5" i="8"/>
  <c r="H4" i="8"/>
  <c r="D4" i="8"/>
  <c r="G5" i="8"/>
  <c r="C5" i="8"/>
  <c r="G4" i="8"/>
  <c r="C4" i="8"/>
  <c r="F5" i="8"/>
  <c r="F4" i="8"/>
  <c r="H3" i="8"/>
  <c r="G3" i="8"/>
  <c r="C3" i="8"/>
  <c r="F3" i="8"/>
  <c r="E3" i="8"/>
  <c r="D3" i="8"/>
  <c r="K13" i="1"/>
  <c r="W16" i="1" s="1"/>
  <c r="B2" i="8"/>
  <c r="C2" i="8"/>
  <c r="D2" i="8"/>
  <c r="E2" i="8"/>
  <c r="F2" i="8"/>
  <c r="G2" i="8"/>
  <c r="K6" i="6" l="1"/>
  <c r="K10" i="6" s="1"/>
</calcChain>
</file>

<file path=xl/sharedStrings.xml><?xml version="1.0" encoding="utf-8"?>
<sst xmlns="http://schemas.openxmlformats.org/spreadsheetml/2006/main" count="698" uniqueCount="381">
  <si>
    <t>Department_ID</t>
  </si>
  <si>
    <t>Department_Name</t>
  </si>
  <si>
    <t>D001</t>
  </si>
  <si>
    <t>General Medicine</t>
  </si>
  <si>
    <t>D002</t>
  </si>
  <si>
    <t>Cardiology</t>
  </si>
  <si>
    <t>D003</t>
  </si>
  <si>
    <t>Neurology</t>
  </si>
  <si>
    <t>D004</t>
  </si>
  <si>
    <t>Orthopedics</t>
  </si>
  <si>
    <t>D005</t>
  </si>
  <si>
    <t>Pediatrics</t>
  </si>
  <si>
    <t>D006</t>
  </si>
  <si>
    <t>Dermatology</t>
  </si>
  <si>
    <t>D007</t>
  </si>
  <si>
    <t>Oncology</t>
  </si>
  <si>
    <t>D008</t>
  </si>
  <si>
    <t>ICU</t>
  </si>
  <si>
    <t>D009</t>
  </si>
  <si>
    <t>Emergency</t>
  </si>
  <si>
    <t>D010</t>
  </si>
  <si>
    <t>ENT</t>
  </si>
  <si>
    <t>D011</t>
  </si>
  <si>
    <t>Gynecology</t>
  </si>
  <si>
    <t>D012</t>
  </si>
  <si>
    <t>Urology</t>
  </si>
  <si>
    <t>D013</t>
  </si>
  <si>
    <t>Gastroenterology</t>
  </si>
  <si>
    <t>D014</t>
  </si>
  <si>
    <t>Pulmonology</t>
  </si>
  <si>
    <t>D015</t>
  </si>
  <si>
    <t>Psychiatry</t>
  </si>
  <si>
    <t>Bed_Type_ID</t>
  </si>
  <si>
    <t>Bed_Type</t>
  </si>
  <si>
    <t>B001</t>
  </si>
  <si>
    <t>General</t>
  </si>
  <si>
    <t>B002</t>
  </si>
  <si>
    <t>B003</t>
  </si>
  <si>
    <t>Semi-Private</t>
  </si>
  <si>
    <t>B004</t>
  </si>
  <si>
    <t>Private</t>
  </si>
  <si>
    <t>B005</t>
  </si>
  <si>
    <t>B006</t>
  </si>
  <si>
    <t>Ventilator</t>
  </si>
  <si>
    <t>Status_ID</t>
  </si>
  <si>
    <t>Patient_Status</t>
  </si>
  <si>
    <t>S001</t>
  </si>
  <si>
    <t>Admitted</t>
  </si>
  <si>
    <t>S002</t>
  </si>
  <si>
    <t>Under Observation</t>
  </si>
  <si>
    <t>S003</t>
  </si>
  <si>
    <t>Critical</t>
  </si>
  <si>
    <t>S004</t>
  </si>
  <si>
    <t>Stable</t>
  </si>
  <si>
    <t>S005</t>
  </si>
  <si>
    <t>Discharged</t>
  </si>
  <si>
    <t>S006</t>
  </si>
  <si>
    <t>Referred</t>
  </si>
  <si>
    <t>Spec_ID</t>
  </si>
  <si>
    <t>Specialization</t>
  </si>
  <si>
    <t>SP001</t>
  </si>
  <si>
    <t>Cardiologist</t>
  </si>
  <si>
    <t>SP002</t>
  </si>
  <si>
    <t>Neurologist</t>
  </si>
  <si>
    <t>SP003</t>
  </si>
  <si>
    <t>Orthopedic</t>
  </si>
  <si>
    <t>SP004</t>
  </si>
  <si>
    <t>Pediatrician</t>
  </si>
  <si>
    <t>SP005</t>
  </si>
  <si>
    <t>ICU Specialist</t>
  </si>
  <si>
    <t>SP006</t>
  </si>
  <si>
    <t>General Physician</t>
  </si>
  <si>
    <t>SP007</t>
  </si>
  <si>
    <t>Psychiatrist</t>
  </si>
  <si>
    <t>SP008</t>
  </si>
  <si>
    <t>Dermatologist</t>
  </si>
  <si>
    <t>SP009</t>
  </si>
  <si>
    <t>Pulmonologist</t>
  </si>
  <si>
    <t>SP010</t>
  </si>
  <si>
    <t>Oncologist</t>
  </si>
  <si>
    <t>SP011</t>
  </si>
  <si>
    <t>ENT Specialist</t>
  </si>
  <si>
    <t>SP012</t>
  </si>
  <si>
    <t>Gynecologist</t>
  </si>
  <si>
    <t>SP013</t>
  </si>
  <si>
    <t>Urologist</t>
  </si>
  <si>
    <t>SP014</t>
  </si>
  <si>
    <t>Gastroenterologist</t>
  </si>
  <si>
    <t>SP015</t>
  </si>
  <si>
    <t>Emergency Specialist</t>
  </si>
  <si>
    <t>City_ID</t>
  </si>
  <si>
    <t>City</t>
  </si>
  <si>
    <t>C001</t>
  </si>
  <si>
    <t>Delhi</t>
  </si>
  <si>
    <t>C002</t>
  </si>
  <si>
    <t>Mumbai</t>
  </si>
  <si>
    <t>C003</t>
  </si>
  <si>
    <t>Bangalore</t>
  </si>
  <si>
    <t>C004</t>
  </si>
  <si>
    <t>Hyderabad</t>
  </si>
  <si>
    <t>C005</t>
  </si>
  <si>
    <t>Chennai</t>
  </si>
  <si>
    <t>C006</t>
  </si>
  <si>
    <t>Pune</t>
  </si>
  <si>
    <t>C007</t>
  </si>
  <si>
    <t>Jaipur</t>
  </si>
  <si>
    <t>C008</t>
  </si>
  <si>
    <t>Lucknow</t>
  </si>
  <si>
    <t>C009</t>
  </si>
  <si>
    <t>Chandigarh</t>
  </si>
  <si>
    <t>C010</t>
  </si>
  <si>
    <t>Ahmedabad</t>
  </si>
  <si>
    <t>C011</t>
  </si>
  <si>
    <t>Indore</t>
  </si>
  <si>
    <t>C012</t>
  </si>
  <si>
    <t>Bhopal</t>
  </si>
  <si>
    <t>C013</t>
  </si>
  <si>
    <t>Patna</t>
  </si>
  <si>
    <t>C014</t>
  </si>
  <si>
    <t>Ranchi</t>
  </si>
  <si>
    <t>C015</t>
  </si>
  <si>
    <t>Surat</t>
  </si>
  <si>
    <t>C016</t>
  </si>
  <si>
    <t>Kochi</t>
  </si>
  <si>
    <t>C017</t>
  </si>
  <si>
    <t>Noida</t>
  </si>
  <si>
    <t>C018</t>
  </si>
  <si>
    <t>Gurgaon</t>
  </si>
  <si>
    <t>C019</t>
  </si>
  <si>
    <t>Nagpur</t>
  </si>
  <si>
    <t>C020</t>
  </si>
  <si>
    <t>Kolkata</t>
  </si>
  <si>
    <t>Insurance_ID</t>
  </si>
  <si>
    <t>Insurance_Type</t>
  </si>
  <si>
    <t>I001</t>
  </si>
  <si>
    <t>Cash</t>
  </si>
  <si>
    <t>I002</t>
  </si>
  <si>
    <t>Medicare</t>
  </si>
  <si>
    <t>I003</t>
  </si>
  <si>
    <t>Medicaid</t>
  </si>
  <si>
    <t>I004</t>
  </si>
  <si>
    <t>Private Insurance</t>
  </si>
  <si>
    <t>I005</t>
  </si>
  <si>
    <t>Corporate Insurance</t>
  </si>
  <si>
    <t>I006</t>
  </si>
  <si>
    <t>Government Scheme</t>
  </si>
  <si>
    <t>I007</t>
  </si>
  <si>
    <t>Emergency Coverage</t>
  </si>
  <si>
    <t>I008</t>
  </si>
  <si>
    <t>Self-Pay</t>
  </si>
  <si>
    <t>Priority_ID</t>
  </si>
  <si>
    <t>Priority_Level</t>
  </si>
  <si>
    <t>P001</t>
  </si>
  <si>
    <t>Low</t>
  </si>
  <si>
    <t>P002</t>
  </si>
  <si>
    <t>Medium</t>
  </si>
  <si>
    <t>P003</t>
  </si>
  <si>
    <t>High</t>
  </si>
  <si>
    <t>P004</t>
  </si>
  <si>
    <t>Admission_ID</t>
  </si>
  <si>
    <t>Admission_Type</t>
  </si>
  <si>
    <t>A001</t>
  </si>
  <si>
    <t>Walk-In</t>
  </si>
  <si>
    <t>A002</t>
  </si>
  <si>
    <t>A003</t>
  </si>
  <si>
    <t>Referral</t>
  </si>
  <si>
    <t>A004</t>
  </si>
  <si>
    <t>Ambulance</t>
  </si>
  <si>
    <t>Gender_ID</t>
  </si>
  <si>
    <t>Gender</t>
  </si>
  <si>
    <t>G001</t>
  </si>
  <si>
    <t>Male</t>
  </si>
  <si>
    <t>G002</t>
  </si>
  <si>
    <t>Female</t>
  </si>
  <si>
    <t>G003</t>
  </si>
  <si>
    <t>Other</t>
  </si>
  <si>
    <t>Blood_ID</t>
  </si>
  <si>
    <t>Blood_Group</t>
  </si>
  <si>
    <t>BG001</t>
  </si>
  <si>
    <t>A+</t>
  </si>
  <si>
    <t>BG002</t>
  </si>
  <si>
    <t>A-</t>
  </si>
  <si>
    <t>BG003</t>
  </si>
  <si>
    <t>B+</t>
  </si>
  <si>
    <t>BG004</t>
  </si>
  <si>
    <t>B-</t>
  </si>
  <si>
    <t>BG005</t>
  </si>
  <si>
    <t>AB+</t>
  </si>
  <si>
    <t>BG006</t>
  </si>
  <si>
    <t>AB-</t>
  </si>
  <si>
    <t>BG007</t>
  </si>
  <si>
    <t>O+</t>
  </si>
  <si>
    <t>BG008</t>
  </si>
  <si>
    <t>O-</t>
  </si>
  <si>
    <t>🏥 HOSPITAL PATIENT ADMISSION FORM</t>
  </si>
  <si>
    <t>Patient ID</t>
  </si>
  <si>
    <t>Patient Name</t>
  </si>
  <si>
    <t>DOB</t>
  </si>
  <si>
    <t>Age</t>
  </si>
  <si>
    <t>Blood Group</t>
  </si>
  <si>
    <t>Contact Number</t>
  </si>
  <si>
    <t>Department</t>
  </si>
  <si>
    <t>Doctor Specialization</t>
  </si>
  <si>
    <t>Patient Status</t>
  </si>
  <si>
    <t>Priority Level</t>
  </si>
  <si>
    <t>Admission Type</t>
  </si>
  <si>
    <t>Insurance Type</t>
  </si>
  <si>
    <t>Bed Type Required</t>
  </si>
  <si>
    <t>PATIENT DETAILS</t>
  </si>
  <si>
    <t>MEDICAL DETAILS</t>
  </si>
  <si>
    <t>ADMISSION DETAILS</t>
  </si>
  <si>
    <t>Admission Date</t>
  </si>
  <si>
    <t>Expected Stay (Days)</t>
  </si>
  <si>
    <t>Emergency Case</t>
  </si>
  <si>
    <t>ICU Required</t>
  </si>
  <si>
    <t>Patient_ID</t>
  </si>
  <si>
    <t>Patient_Name</t>
  </si>
  <si>
    <t>Contact_Number</t>
  </si>
  <si>
    <t>Doctor_Specialization</t>
  </si>
  <si>
    <t>Admission_Date</t>
  </si>
  <si>
    <t>Expected_Stay_Days</t>
  </si>
  <si>
    <t>Emergency_Case</t>
  </si>
  <si>
    <t>ICU_Required</t>
  </si>
  <si>
    <t>Auto-Generated</t>
  </si>
  <si>
    <t>Bed_ID</t>
  </si>
  <si>
    <t>Floor</t>
  </si>
  <si>
    <t>Room_No</t>
  </si>
  <si>
    <t>Bed_Status</t>
  </si>
  <si>
    <t>Assigned_Patient_ID</t>
  </si>
  <si>
    <t>Expected_Discharge</t>
  </si>
  <si>
    <t>Priority_Reserved</t>
  </si>
  <si>
    <t>BED001</t>
  </si>
  <si>
    <t>BED002</t>
  </si>
  <si>
    <t>BED003</t>
  </si>
  <si>
    <t>BED004</t>
  </si>
  <si>
    <t>BED005</t>
  </si>
  <si>
    <t>BED006</t>
  </si>
  <si>
    <t>BED007</t>
  </si>
  <si>
    <t>BED008</t>
  </si>
  <si>
    <t>BED009</t>
  </si>
  <si>
    <t>BED010</t>
  </si>
  <si>
    <t>BED011</t>
  </si>
  <si>
    <t>BED012</t>
  </si>
  <si>
    <t>BED013</t>
  </si>
  <si>
    <t>BED014</t>
  </si>
  <si>
    <t>BED015</t>
  </si>
  <si>
    <t>BED016</t>
  </si>
  <si>
    <t>BED017</t>
  </si>
  <si>
    <t>BED018</t>
  </si>
  <si>
    <t>BED019</t>
  </si>
  <si>
    <t>BED020</t>
  </si>
  <si>
    <t>R101</t>
  </si>
  <si>
    <t>R102</t>
  </si>
  <si>
    <t>R103</t>
  </si>
  <si>
    <t>R201</t>
  </si>
  <si>
    <t>R301</t>
  </si>
  <si>
    <t>R202</t>
  </si>
  <si>
    <t>R302</t>
  </si>
  <si>
    <t>R303</t>
  </si>
  <si>
    <t>R104</t>
  </si>
  <si>
    <t>R204</t>
  </si>
  <si>
    <t>R304</t>
  </si>
  <si>
    <t>R105</t>
  </si>
  <si>
    <t>R205</t>
  </si>
  <si>
    <t>R305</t>
  </si>
  <si>
    <t>R106</t>
  </si>
  <si>
    <t>R107</t>
  </si>
  <si>
    <t>R203</t>
  </si>
  <si>
    <t>R206</t>
  </si>
  <si>
    <t>R306</t>
  </si>
  <si>
    <t>R207</t>
  </si>
  <si>
    <t>Available</t>
  </si>
  <si>
    <t>Occupied</t>
  </si>
  <si>
    <t>Maintenance</t>
  </si>
  <si>
    <t>Reserved</t>
  </si>
  <si>
    <t>Bed_Type_Required</t>
  </si>
  <si>
    <t>Allocated_Bed_ID</t>
  </si>
  <si>
    <t>Allocation_Status</t>
  </si>
  <si>
    <t>Yes</t>
  </si>
  <si>
    <t>Allocated</t>
  </si>
  <si>
    <t>Doctor_ID</t>
  </si>
  <si>
    <t>Doctor_Name</t>
  </si>
  <si>
    <t>Max_Patient_Capacity</t>
  </si>
  <si>
    <t>Current_Assigned</t>
  </si>
  <si>
    <t>Availability_Status</t>
  </si>
  <si>
    <t>Experience_Years</t>
  </si>
  <si>
    <t>Consultation_Fee</t>
  </si>
  <si>
    <t>Assigned_Doctor_ID</t>
  </si>
  <si>
    <t>Assigned_Doctor_Name</t>
  </si>
  <si>
    <t>DOC001</t>
  </si>
  <si>
    <t>DOC002</t>
  </si>
  <si>
    <t>DOC003</t>
  </si>
  <si>
    <t>DOC004</t>
  </si>
  <si>
    <t>DOC005</t>
  </si>
  <si>
    <t>DOC006</t>
  </si>
  <si>
    <t>DOC007</t>
  </si>
  <si>
    <t>DOC008</t>
  </si>
  <si>
    <t>DOC009</t>
  </si>
  <si>
    <t>DOC010</t>
  </si>
  <si>
    <t>Dr. Amit Sharma</t>
  </si>
  <si>
    <t>Dr. Neha Verma</t>
  </si>
  <si>
    <t>Dr. Raj Malhotra</t>
  </si>
  <si>
    <t>Dr. Priya Singh</t>
  </si>
  <si>
    <t>Dr. Arjun Mehta</t>
  </si>
  <si>
    <t>Dr. Simran Kaur</t>
  </si>
  <si>
    <t>Dr. Vivek Rao</t>
  </si>
  <si>
    <t>Dr. Sana Khan</t>
  </si>
  <si>
    <t>Dr. Kunal Joshi</t>
  </si>
  <si>
    <t>Dr. Ritu Jain</t>
  </si>
  <si>
    <t>Tim David</t>
  </si>
  <si>
    <t>HOSPITAL EXECUTIVE DASHBOARD</t>
  </si>
  <si>
    <t>Last Updated ON:</t>
  </si>
  <si>
    <t>Total Patients</t>
  </si>
  <si>
    <t>Occupied Beds</t>
  </si>
  <si>
    <t>Available Beds</t>
  </si>
  <si>
    <t>Pending Allocations</t>
  </si>
  <si>
    <t>Total Doctors</t>
  </si>
  <si>
    <t>Busy Doctors</t>
  </si>
  <si>
    <t>ICU Patients</t>
  </si>
  <si>
    <t>Emergency Cases</t>
  </si>
  <si>
    <t>Row Labels</t>
  </si>
  <si>
    <t>Grand Total</t>
  </si>
  <si>
    <t>Count of Patient_ID</t>
  </si>
  <si>
    <t>Count of Bed_ID</t>
  </si>
  <si>
    <t>Sum of Current_Assigned</t>
  </si>
  <si>
    <t>Ravi Mathur</t>
  </si>
  <si>
    <t>EXECUTIVE INSIGHTS</t>
  </si>
  <si>
    <t>Naman Meena</t>
  </si>
  <si>
    <t>Monika Jain</t>
  </si>
  <si>
    <t>Daily_Charge</t>
  </si>
  <si>
    <t>Deposit</t>
  </si>
  <si>
    <t>ICU_Service</t>
  </si>
  <si>
    <t>Charge</t>
  </si>
  <si>
    <t>Billing_Type</t>
  </si>
  <si>
    <t>ICU Monitoring</t>
  </si>
  <si>
    <t>Ventilator Support</t>
  </si>
  <si>
    <t>Oxygen Support</t>
  </si>
  <si>
    <t>Critical Care Fee</t>
  </si>
  <si>
    <t>Cardiac Monitoring</t>
  </si>
  <si>
    <t>Neuro Monitoring</t>
  </si>
  <si>
    <t>Per Day</t>
  </si>
  <si>
    <t>Fixed</t>
  </si>
  <si>
    <t>Emergency_Service</t>
  </si>
  <si>
    <t>Type</t>
  </si>
  <si>
    <t>Emergency Admission</t>
  </si>
  <si>
    <t>Ambulance Service</t>
  </si>
  <si>
    <t>Trauma Handling</t>
  </si>
  <si>
    <t>Emergency Surgery Prep</t>
  </si>
  <si>
    <t>Critical Emergency Support</t>
  </si>
  <si>
    <t>Service</t>
  </si>
  <si>
    <t>Registration Fee</t>
  </si>
  <si>
    <t>File Charges</t>
  </si>
  <si>
    <t>Nursing Charges</t>
  </si>
  <si>
    <t>Sanitization</t>
  </si>
  <si>
    <t>Biomedical Waste</t>
  </si>
  <si>
    <t>Diet Charges</t>
  </si>
  <si>
    <t>Attendant Pass</t>
  </si>
  <si>
    <t>Per Visit</t>
  </si>
  <si>
    <t>Coverage_Percentage</t>
  </si>
  <si>
    <t>Max_Claim_Amount</t>
  </si>
  <si>
    <t>Cashless_Eligible</t>
  </si>
  <si>
    <t>Room_Rent_Limit</t>
  </si>
  <si>
    <t>ICU_Coverage</t>
  </si>
  <si>
    <t>No</t>
  </si>
  <si>
    <t>Billing ID</t>
  </si>
  <si>
    <t>Bed Type</t>
  </si>
  <si>
    <t>Stay Days</t>
  </si>
  <si>
    <t>Bed Charges</t>
  </si>
  <si>
    <t>ICU Charges</t>
  </si>
  <si>
    <t>Emergency Charges</t>
  </si>
  <si>
    <t>Doctor Charges</t>
  </si>
  <si>
    <t>Misc Charges</t>
  </si>
  <si>
    <t>Gross Amount</t>
  </si>
  <si>
    <t>Coverage %</t>
  </si>
  <si>
    <t>Max Claim</t>
  </si>
  <si>
    <t>Insurance Deduction</t>
  </si>
  <si>
    <t>Final Payable</t>
  </si>
  <si>
    <t>Shahid Kapoor</t>
  </si>
  <si>
    <t>P005</t>
  </si>
  <si>
    <t>Shubham Jain</t>
  </si>
  <si>
    <t>P006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</si>
</sst>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13" x14ac:knownFonts="1">
    <font>
      <sz val="11"/>
      <color theme="1"/>
      <name val="Calibri"/>
      <family val="2"/>
      <scheme val="minor"/>
    </font>
    <font>
      <b/>
      <sz val="11"/>
      <color theme="0"/>
      <name val="Calibri"/>
      <family val="2"/>
      <scheme val="minor"/>
    </font>
    <font>
      <b/>
      <sz val="18"/>
      <color theme="0"/>
      <name val="Calibri"/>
      <family val="2"/>
      <scheme val="minor"/>
    </font>
    <font>
      <i/>
      <sz val="9"/>
      <color theme="1"/>
      <name val="Calibri"/>
      <family val="2"/>
      <scheme val="minor"/>
    </font>
    <font>
      <sz val="8"/>
      <name val="Calibri"/>
      <family val="2"/>
      <scheme val="minor"/>
    </font>
    <font>
      <sz val="11"/>
      <color theme="0"/>
      <name val="Calibri"/>
      <family val="2"/>
      <scheme val="minor"/>
    </font>
    <font>
      <b/>
      <sz val="22"/>
      <color theme="0"/>
      <name val="Calibri"/>
      <family val="2"/>
      <scheme val="minor"/>
    </font>
    <font>
      <b/>
      <sz val="14"/>
      <color rgb="FF0070C0"/>
      <name val="Calibri"/>
      <family val="2"/>
      <scheme val="minor"/>
    </font>
    <font>
      <sz val="20"/>
      <color theme="1"/>
      <name val="Calibri"/>
      <family val="2"/>
      <scheme val="minor"/>
    </font>
    <font>
      <b/>
      <sz val="12"/>
      <color theme="0"/>
      <name val="Calibri"/>
      <family val="2"/>
      <scheme val="minor"/>
    </font>
    <font>
      <sz val="20"/>
      <color theme="0"/>
      <name val="Calibri"/>
      <family val="2"/>
      <scheme val="minor"/>
    </font>
    <font>
      <b/>
      <sz val="14"/>
      <color theme="0"/>
      <name val="Calibri"/>
      <family val="2"/>
      <scheme val="minor"/>
    </font>
    <font>
      <b/>
      <sz val="11"/>
      <color rgb="FF0070C0"/>
      <name val="Calibri"/>
      <family val="2"/>
      <scheme val="minor"/>
    </font>
  </fonts>
  <fills count="8">
    <fill>
      <patternFill patternType="none"/>
    </fill>
    <fill>
      <patternFill patternType="gray125"/>
    </fill>
    <fill>
      <patternFill patternType="solid">
        <fgColor rgb="FF0070C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theme="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52">
    <xf numFmtId="0" fontId="0" fillId="0" borderId="0" xfId="0"/>
    <xf numFmtId="0" fontId="0" fillId="0" borderId="0" xfId="0" applyAlignment="1">
      <alignment vertical="center" wrapText="1"/>
    </xf>
    <xf numFmtId="0" fontId="0" fillId="0" borderId="0" xfId="0" applyAlignment="1">
      <alignment vertical="center"/>
    </xf>
    <xf numFmtId="0" fontId="0" fillId="0" borderId="0" xfId="0" applyProtection="1">
      <protection locked="0"/>
    </xf>
    <xf numFmtId="14" fontId="0" fillId="0" borderId="0" xfId="0" applyNumberFormat="1"/>
    <xf numFmtId="0" fontId="6" fillId="0" borderId="0" xfId="0" applyFont="1" applyAlignment="1">
      <alignment horizontal="center" vertical="center"/>
    </xf>
    <xf numFmtId="14" fontId="5" fillId="0" borderId="0" xfId="0" applyNumberFormat="1" applyFont="1" applyAlignment="1">
      <alignment horizontal="center" vertical="top"/>
    </xf>
    <xf numFmtId="0" fontId="5" fillId="0" borderId="0" xfId="0" applyFont="1" applyAlignment="1">
      <alignment horizontal="center" vertical="top"/>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0" fillId="0" borderId="0" xfId="0" pivotButton="1"/>
    <xf numFmtId="0" fontId="0" fillId="0" borderId="0" xfId="0" applyAlignment="1">
      <alignment horizontal="left"/>
    </xf>
    <xf numFmtId="14" fontId="0" fillId="0" borderId="0" xfId="0" applyNumberFormat="1" applyAlignment="1">
      <alignment horizontal="left"/>
    </xf>
    <xf numFmtId="1" fontId="0" fillId="0" borderId="0" xfId="0" applyNumberFormat="1"/>
    <xf numFmtId="10" fontId="0" fillId="0" borderId="0" xfId="0" applyNumberFormat="1"/>
    <xf numFmtId="10" fontId="0" fillId="0" borderId="0" xfId="0" applyNumberFormat="1" applyAlignment="1">
      <alignment vertical="center"/>
    </xf>
    <xf numFmtId="164" fontId="0" fillId="0" borderId="0" xfId="0" applyNumberFormat="1"/>
    <xf numFmtId="164" fontId="0" fillId="0" borderId="0" xfId="0" applyNumberFormat="1" applyAlignment="1">
      <alignment vertical="center"/>
    </xf>
    <xf numFmtId="0" fontId="1" fillId="2" borderId="0" xfId="0" applyFont="1" applyFill="1"/>
    <xf numFmtId="0" fontId="12" fillId="7" borderId="0" xfId="0" applyFont="1" applyFill="1"/>
    <xf numFmtId="0" fontId="1" fillId="2" borderId="0" xfId="0" applyFont="1" applyFill="1" applyAlignment="1">
      <alignment vertical="center"/>
    </xf>
    <xf numFmtId="0" fontId="12" fillId="0" borderId="0" xfId="0" applyFont="1" applyAlignment="1">
      <alignment vertical="center"/>
    </xf>
    <xf numFmtId="0" fontId="12" fillId="0" borderId="0" xfId="0" applyFont="1"/>
    <xf numFmtId="0" fontId="9" fillId="2" borderId="0" xfId="0" applyFont="1" applyFill="1" applyAlignment="1">
      <alignment vertical="center"/>
    </xf>
    <xf numFmtId="164" fontId="0" fillId="5" borderId="0" xfId="0" applyNumberFormat="1" applyFill="1"/>
    <xf numFmtId="0" fontId="9" fillId="2" borderId="0" xfId="0" applyFont="1" applyFill="1"/>
    <xf numFmtId="0" fontId="1" fillId="3" borderId="0" xfId="0" applyFont="1" applyFill="1" applyProtection="1">
      <protection locked="0"/>
    </xf>
    <xf numFmtId="0" fontId="0" fillId="0" borderId="0" xfId="0" applyProtection="1">
      <protection locked="0"/>
    </xf>
    <xf numFmtId="0" fontId="2" fillId="2" borderId="0" xfId="0" applyFont="1" applyFill="1" applyAlignment="1" applyProtection="1">
      <alignment horizontal="center" vertical="center"/>
      <protection locked="0"/>
    </xf>
    <xf numFmtId="0" fontId="3" fillId="4" borderId="0" xfId="0" applyFont="1" applyFill="1" applyAlignment="1">
      <alignment horizontal="center" vertical="center"/>
    </xf>
    <xf numFmtId="14" fontId="0" fillId="0" borderId="0" xfId="0" applyNumberFormat="1" applyProtection="1">
      <protection locked="0"/>
    </xf>
    <xf numFmtId="0" fontId="0" fillId="0" borderId="0" xfId="0"/>
    <xf numFmtId="0" fontId="10" fillId="6" borderId="4" xfId="0" applyFont="1" applyFill="1" applyBorder="1" applyAlignment="1">
      <alignment horizontal="center" vertical="center"/>
    </xf>
    <xf numFmtId="0" fontId="10" fillId="6" borderId="0" xfId="0" applyFont="1" applyFill="1" applyAlignment="1">
      <alignment horizontal="center" vertical="center"/>
    </xf>
    <xf numFmtId="0" fontId="10" fillId="6" borderId="5" xfId="0" applyFont="1" applyFill="1" applyBorder="1" applyAlignment="1">
      <alignment horizontal="center" vertical="center"/>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6" borderId="8"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2" xfId="0" applyFont="1" applyFill="1" applyBorder="1" applyAlignment="1">
      <alignment horizontal="center" vertical="center"/>
    </xf>
    <xf numFmtId="0" fontId="7" fillId="5" borderId="3"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0" xfId="0" applyFont="1" applyFill="1" applyAlignment="1">
      <alignment horizontal="center" vertical="center"/>
    </xf>
    <xf numFmtId="0" fontId="7" fillId="5" borderId="5" xfId="0" applyFont="1" applyFill="1" applyBorder="1" applyAlignment="1">
      <alignment horizontal="center" vertical="center"/>
    </xf>
    <xf numFmtId="0" fontId="0" fillId="0" borderId="0" xfId="0" applyAlignment="1">
      <alignment horizontal="center" vertical="center"/>
    </xf>
    <xf numFmtId="0" fontId="6" fillId="6" borderId="0" xfId="0" applyFont="1" applyFill="1" applyAlignment="1">
      <alignment horizontal="center" vertical="center"/>
    </xf>
    <xf numFmtId="0" fontId="5" fillId="6" borderId="0" xfId="0" applyFont="1" applyFill="1" applyAlignment="1">
      <alignment horizontal="center" vertical="center"/>
    </xf>
    <xf numFmtId="14" fontId="9" fillId="6" borderId="0" xfId="0" applyNumberFormat="1" applyFont="1" applyFill="1" applyAlignment="1">
      <alignment horizontal="center" vertical="top"/>
    </xf>
    <xf numFmtId="0" fontId="9" fillId="6" borderId="0" xfId="0" applyFont="1" applyFill="1" applyAlignment="1">
      <alignment horizontal="center" vertical="top"/>
    </xf>
    <xf numFmtId="0" fontId="11" fillId="6" borderId="0" xfId="0" applyFont="1" applyFill="1" applyAlignment="1">
      <alignment horizontal="left"/>
    </xf>
    <xf numFmtId="0" fontId="0" fillId="0" borderId="0" xfId="0" applyNumberFormat="1"/>
  </cellXfs>
  <cellStyles count="1">
    <cellStyle name="Normal" xfId="0" builtinId="0"/>
  </cellStyles>
  <dxfs count="65">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rgb="FFFFFFFF"/>
      </font>
      <fill>
        <patternFill>
          <bgColor rgb="FF00B050"/>
        </patternFill>
      </fill>
    </dxf>
    <dxf>
      <font>
        <color theme="0"/>
      </font>
      <fill>
        <patternFill>
          <bgColor rgb="FFFF0000"/>
        </patternFill>
      </fill>
    </dxf>
    <dxf>
      <font>
        <b/>
        <i val="0"/>
        <color theme="0"/>
      </font>
      <fill>
        <patternFill>
          <bgColor theme="5"/>
        </patternFill>
      </fill>
    </dxf>
    <dxf>
      <font>
        <b/>
        <i val="0"/>
        <color theme="9" tint="-0.24994659260841701"/>
      </font>
      <fill>
        <patternFill>
          <bgColor theme="9" tint="0.79998168889431442"/>
        </patternFill>
      </fill>
    </dxf>
    <dxf>
      <font>
        <b/>
        <i val="0"/>
        <color theme="7" tint="-0.24994659260841701"/>
      </font>
      <fill>
        <patternFill>
          <bgColor theme="7" tint="0.79998168889431442"/>
        </patternFill>
      </fill>
    </dxf>
    <dxf>
      <font>
        <color theme="8" tint="-0.24994659260841701"/>
      </font>
      <fill>
        <patternFill>
          <bgColor theme="8" tint="0.79998168889431442"/>
        </patternFill>
      </fill>
    </dxf>
    <dxf>
      <font>
        <color rgb="FFFF0000"/>
      </font>
      <fill>
        <patternFill>
          <bgColor theme="5" tint="0.39994506668294322"/>
        </patternFill>
      </fill>
    </dxf>
    <dxf>
      <alignment horizontal="general" vertical="center" textRotation="0" wrapText="0" indent="0" justifyLastLine="0" shrinkToFit="0" readingOrder="0"/>
    </dxf>
    <dxf>
      <numFmt numFmtId="164" formatCode="&quot;₹&quot;\ #,##0.00"/>
      <alignment horizontal="general" vertical="center" textRotation="0" wrapText="0" indent="0" justifyLastLine="0" shrinkToFit="0" readingOrder="0"/>
    </dxf>
    <dxf>
      <alignment horizontal="general" vertical="center" textRotation="0" wrapText="0" indent="0" justifyLastLine="0" shrinkToFit="0" readingOrder="0"/>
    </dxf>
    <dxf>
      <numFmt numFmtId="164" formatCode="&quot;₹&quot;\ #,##0.00"/>
      <alignment horizontal="general" vertical="center" textRotation="0" wrapText="0" indent="0" justifyLastLine="0" shrinkToFit="0" readingOrder="0"/>
    </dxf>
    <dxf>
      <numFmt numFmtId="14" formatCode="0.00%"/>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numFmt numFmtId="0" formatCode="General"/>
    </dxf>
    <dxf>
      <numFmt numFmtId="1" formatCode="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4.xml"/><Relationship Id="rId26" Type="http://schemas.microsoft.com/office/2007/relationships/slicerCache" Target="slicerCaches/slicerCache12.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microsoft.com/office/2007/relationships/slicerCache" Target="slicerCaches/slicerCache11.xml"/><Relationship Id="rId33"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microsoft.com/office/2011/relationships/timelineCache" Target="timelineCaches/timelineCache1.xml"/><Relationship Id="rId10" Type="http://schemas.openxmlformats.org/officeDocument/2006/relationships/worksheet" Target="worksheets/sheet10.xml"/><Relationship Id="rId19" Type="http://schemas.microsoft.com/office/2007/relationships/slicerCache" Target="slicerCaches/slicerCache5.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8.xml"/><Relationship Id="rId27" Type="http://schemas.microsoft.com/office/2007/relationships/slicerCache" Target="slicerCaches/slicerCache13.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[Hospital_Management_System.xlsm]Pivot_Data!Department-wise Patients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chemeClr val="tx1"/>
                </a:solidFill>
              </a:rPr>
              <a:t>Patient by Department</a:t>
            </a:r>
            <a:endParaRPr lang="en-US" sz="1400" b="1" i="0" u="none" strike="noStrike" kern="1200" spc="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Pivot_Data!$B$2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Pivot_Data!$A$3:$A$7</c:f>
              <c:strCache>
                <c:ptCount val="4"/>
                <c:pt idx="0">
                  <c:v>Neurology</c:v>
                </c:pt>
                <c:pt idx="1">
                  <c:v>Cardiology</c:v>
                </c:pt>
                <c:pt idx="2">
                  <c:v>Pediatrics</c:v>
                </c:pt>
                <c:pt idx="3">
                  <c:v>Dermatology</c:v>
                </c:pt>
              </c:strCache>
            </c:strRef>
          </c:cat>
          <c:val>
            <c:numRef>
              <c:f>Pivot_Data!$B$3:$B$7</c:f>
              <c:numCache>
                <c:formatCode>General</c:formatCode>
                <c:ptCount val="4"/>
                <c:pt idx="0">
                  <c:v>2</c:v>
                </c:pt>
                <c:pt idx="1">
                  <c:v>1</c:v>
                </c:pt>
                <c:pt idx="2">
                  <c:v>2</c:v>
                </c:pt>
                <c:pt idx="3">
                  <c:v>1</c:v>
                </c:pt>
              </c:numCache>
            </c:numRef>
          </c:val>
          <c:extLst>
            <c:ext xmlns:c16="http://schemas.microsoft.com/office/drawing/2014/chart" uri="{C3380CC4-5D6E-409C-BE32-E72D297353CC}">
              <c16:uniqueId val="{00000000-E308-4F7D-830F-2D23CB0AF424}"/>
            </c:ext>
          </c:extLst>
        </c:ser>
        <c:dLbls>
          <c:dLblPos val="outEnd"/>
          <c:showLegendKey val="0"/>
          <c:showVal val="1"/>
          <c:showCatName val="0"/>
          <c:showSerName val="0"/>
          <c:showPercent val="0"/>
          <c:showBubbleSize val="0"/>
        </c:dLbls>
        <c:gapWidth val="182"/>
        <c:axId val="236548879"/>
        <c:axId val="236558959"/>
      </c:barChart>
      <c:catAx>
        <c:axId val="236548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8959"/>
        <c:crosses val="autoZero"/>
        <c:auto val="1"/>
        <c:lblAlgn val="ctr"/>
        <c:lblOffset val="100"/>
        <c:noMultiLvlLbl val="0"/>
      </c:catAx>
      <c:valAx>
        <c:axId val="236558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4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[Hospital_Management_System.xlsm]Pivot_Data!Bed Occupancy Status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tx1"/>
                </a:solidFill>
              </a:rPr>
              <a:t>Bed Occupancy</a:t>
            </a:r>
            <a:endParaRPr lang="en-US" b="1" i="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Pivot_Data!$H$2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F50-48BC-B04E-195F7ACEEE7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F50-48BC-B04E-195F7ACEEE7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F50-48BC-B04E-195F7ACEEE7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F50-48BC-B04E-195F7ACEEE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Pivot_Data!$G$3:$G$7</c:f>
              <c:strCache>
                <c:ptCount val="4"/>
                <c:pt idx="0">
                  <c:v>Available</c:v>
                </c:pt>
                <c:pt idx="1">
                  <c:v>Maintenance</c:v>
                </c:pt>
                <c:pt idx="2">
                  <c:v>Occupied</c:v>
                </c:pt>
                <c:pt idx="3">
                  <c:v>Reserved</c:v>
                </c:pt>
              </c:strCache>
            </c:strRef>
          </c:cat>
          <c:val>
            <c:numRef>
              <c:f>Pivot_Data!$H$3:$H$7</c:f>
              <c:numCache>
                <c:formatCode>General</c:formatCode>
                <c:ptCount val="4"/>
                <c:pt idx="0">
                  <c:v>10</c:v>
                </c:pt>
                <c:pt idx="1">
                  <c:v>2</c:v>
                </c:pt>
                <c:pt idx="2">
                  <c:v>6</c:v>
                </c:pt>
                <c:pt idx="3">
                  <c:v>2</c:v>
                </c:pt>
              </c:numCache>
            </c:numRef>
          </c:val>
          <c:extLst>
            <c:ext xmlns:c16="http://schemas.microsoft.com/office/drawing/2014/chart" uri="{C3380CC4-5D6E-409C-BE32-E72D297353CC}">
              <c16:uniqueId val="{00000000-BD70-4EDA-A0F4-117B8BF0B7EF}"/>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[Hospital_Management_System.xlsm]Pivot_Data!Daily Admission Trend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tx1"/>
                </a:solidFill>
              </a:rPr>
              <a:t>Daily Admissions Trend</a:t>
            </a:r>
            <a:endParaRPr lang="en-US" b="1" i="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Pivot_Data!$U$2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Pivot_Data!$T$3:$T$6</c:f>
              <c:strCache>
                <c:ptCount val="3"/>
                <c:pt idx="0">
                  <c:v>30-04-2026</c:v>
                </c:pt>
                <c:pt idx="1">
                  <c:v>28-04-2026</c:v>
                </c:pt>
                <c:pt idx="2">
                  <c:v>26-04-2026</c:v>
                </c:pt>
              </c:strCache>
            </c:strRef>
          </c:cat>
          <c:val>
            <c:numRef>
              <c:f>Pivot_Data!$U$3:$U$6</c:f>
              <c:numCache>
                <c:formatCode>General</c:formatCode>
                <c:ptCount val="3"/>
                <c:pt idx="0">
                  <c:v>4</c:v>
                </c:pt>
                <c:pt idx="1">
                  <c:v>1</c:v>
                </c:pt>
                <c:pt idx="2">
                  <c:v>1</c:v>
                </c:pt>
              </c:numCache>
            </c:numRef>
          </c:val>
          <c:smooth val="0"/>
          <c:extLst>
            <c:ext xmlns:c16="http://schemas.microsoft.com/office/drawing/2014/chart" uri="{C3380CC4-5D6E-409C-BE32-E72D297353CC}">
              <c16:uniqueId val="{00000000-F659-4015-AD40-0CB7D0D8C995}"/>
            </c:ext>
          </c:extLst>
        </c:ser>
        <c:dLbls>
          <c:dLblPos val="t"/>
          <c:showLegendKey val="0"/>
          <c:showVal val="1"/>
          <c:showCatName val="0"/>
          <c:showSerName val="0"/>
          <c:showPercent val="0"/>
          <c:showBubbleSize val="0"/>
        </c:dLbls>
        <c:smooth val="0"/>
        <c:axId val="1445747183"/>
        <c:axId val="1445734223"/>
      </c:lineChart>
      <c:catAx>
        <c:axId val="144574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734223"/>
        <c:crosses val="autoZero"/>
        <c:auto val="1"/>
        <c:lblAlgn val="ctr"/>
        <c:lblOffset val="100"/>
        <c:noMultiLvlLbl val="0"/>
      </c:catAx>
      <c:valAx>
        <c:axId val="1445734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74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[Hospital_Management_System.xlsm]Pivot_Data!Patient Status Distribution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tx1"/>
                </a:solidFill>
              </a:rPr>
              <a:t>Patient Status Distribution</a:t>
            </a:r>
            <a:endParaRPr lang="en-US" b="1" i="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Pivot_Data!$AB$2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141A-41EF-8811-578AAD1A9B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2D-4192-B0C5-10296613CB8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2D-4192-B0C5-10296613CB87}"/>
              </c:ext>
            </c:extLst>
          </c:dPt>
          <c:dLbls>
            <c:dLbl>
              <c:idx val="0"/>
              <c:layout>
                <c:manualLayout>
                  <c:x val="0"/>
                  <c:y val="-0.10185185185185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1A-41EF-8811-578AAD1A9B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Pivot_Data!$AA$3:$AA$6</c:f>
              <c:strCache>
                <c:ptCount val="3"/>
                <c:pt idx="0">
                  <c:v>Under Observation</c:v>
                </c:pt>
                <c:pt idx="1">
                  <c:v>Critical</c:v>
                </c:pt>
                <c:pt idx="2">
                  <c:v>Admitted</c:v>
                </c:pt>
              </c:strCache>
            </c:strRef>
          </c:cat>
          <c:val>
            <c:numRef>
              <c:f>Pivot_Data!$AB$3:$AB$6</c:f>
              <c:numCache>
                <c:formatCode>General</c:formatCode>
                <c:ptCount val="3"/>
                <c:pt idx="0">
                  <c:v>1</c:v>
                </c:pt>
                <c:pt idx="1">
                  <c:v>2</c:v>
                </c:pt>
                <c:pt idx="2">
                  <c:v>3</c:v>
                </c:pt>
              </c:numCache>
            </c:numRef>
          </c:val>
          <c:extLst>
            <c:ext xmlns:c16="http://schemas.microsoft.com/office/drawing/2014/chart" uri="{C3380CC4-5D6E-409C-BE32-E72D297353CC}">
              <c16:uniqueId val="{00000000-141A-41EF-8811-578AAD1A9B3D}"/>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[Hospital_Management_System.xlsm]Pivot_Data!Doctor Workload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0" baseline="0">
                <a:solidFill>
                  <a:schemeClr val="tx1"/>
                </a:solidFill>
              </a:rPr>
              <a:t>Doctor Workload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Pivot_Data!$N$2</c:f>
              <c:strCache>
                <c:ptCount val="1"/>
                <c:pt idx="0">
                  <c:v>Total</c:v>
                </c:pt>
              </c:strCache>
            </c:strRef>
          </c:tx>
          <c:spPr>
            <a:solidFill>
              <a:schemeClr val="accent1"/>
            </a:solidFill>
            <a:ln>
              <a:noFill/>
            </a:ln>
            <a:effectLst/>
          </c:spPr>
          <c:invertIfNegative val="0"/>
          <c:cat>
            <c:strRef>
              <c:f>Pivot_Data!$M$3:$M$13</c:f>
              <c:strCache>
                <c:ptCount val="10"/>
                <c:pt idx="0">
                  <c:v>Dr. Amit Sharma</c:v>
                </c:pt>
                <c:pt idx="1">
                  <c:v>Dr. Arjun Mehta</c:v>
                </c:pt>
                <c:pt idx="2">
                  <c:v>Dr. Kunal Joshi</c:v>
                </c:pt>
                <c:pt idx="3">
                  <c:v>Dr. Neha Verma</c:v>
                </c:pt>
                <c:pt idx="4">
                  <c:v>Dr. Priya Singh</c:v>
                </c:pt>
                <c:pt idx="5">
                  <c:v>Dr. Raj Malhotra</c:v>
                </c:pt>
                <c:pt idx="6">
                  <c:v>Dr. Ritu Jain</c:v>
                </c:pt>
                <c:pt idx="7">
                  <c:v>Dr. Sana Khan</c:v>
                </c:pt>
                <c:pt idx="8">
                  <c:v>Dr. Simran Kaur</c:v>
                </c:pt>
                <c:pt idx="9">
                  <c:v>Dr. Vivek Rao</c:v>
                </c:pt>
              </c:strCache>
            </c:strRef>
          </c:cat>
          <c:val>
            <c:numRef>
              <c:f>Pivot_Data!$N$3:$N$13</c:f>
              <c:numCache>
                <c:formatCode>0</c:formatCode>
                <c:ptCount val="10"/>
                <c:pt idx="0">
                  <c:v>0</c:v>
                </c:pt>
                <c:pt idx="1">
                  <c:v>2</c:v>
                </c:pt>
                <c:pt idx="2">
                  <c:v>0</c:v>
                </c:pt>
                <c:pt idx="3">
                  <c:v>1</c:v>
                </c:pt>
                <c:pt idx="4">
                  <c:v>0</c:v>
                </c:pt>
                <c:pt idx="5">
                  <c:v>2</c:v>
                </c:pt>
                <c:pt idx="6">
                  <c:v>0</c:v>
                </c:pt>
                <c:pt idx="7">
                  <c:v>0</c:v>
                </c:pt>
                <c:pt idx="8">
                  <c:v>0</c:v>
                </c:pt>
                <c:pt idx="9">
                  <c:v>1</c:v>
                </c:pt>
              </c:numCache>
            </c:numRef>
          </c:val>
          <c:extLst>
            <c:ext xmlns:c16="http://schemas.microsoft.com/office/drawing/2014/chart" uri="{C3380CC4-5D6E-409C-BE32-E72D297353CC}">
              <c16:uniqueId val="{00000000-1211-415D-9BA9-E44882BA7611}"/>
            </c:ext>
          </c:extLst>
        </c:ser>
        <c:dLbls>
          <c:showLegendKey val="0"/>
          <c:showVal val="0"/>
          <c:showCatName val="0"/>
          <c:showSerName val="0"/>
          <c:showPercent val="0"/>
          <c:showBubbleSize val="0"/>
        </c:dLbls>
        <c:gapWidth val="182"/>
        <c:axId val="877927247"/>
        <c:axId val="877922927"/>
      </c:barChart>
      <c:catAx>
        <c:axId val="877927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922927"/>
        <c:crosses val="autoZero"/>
        <c:auto val="1"/>
        <c:lblAlgn val="ctr"/>
        <c:lblOffset val="100"/>
        <c:noMultiLvlLbl val="0"/>
      </c:catAx>
      <c:valAx>
        <c:axId val="87792292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927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[Hospital_Management_System.xlsm]Pivot_Data!Department-wise Patients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chemeClr val="tx1"/>
                </a:solidFill>
              </a:rPr>
              <a:t>Patient by Department</a:t>
            </a:r>
            <a:endParaRPr lang="en-US" sz="1400" b="1" i="0" u="none" strike="noStrike" kern="1200" spc="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Pivot_Data!$B$2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Pivot_Data!$A$3:$A$7</c:f>
              <c:strCache>
                <c:ptCount val="4"/>
                <c:pt idx="0">
                  <c:v>Neurology</c:v>
                </c:pt>
                <c:pt idx="1">
                  <c:v>Cardiology</c:v>
                </c:pt>
                <c:pt idx="2">
                  <c:v>Pediatrics</c:v>
                </c:pt>
                <c:pt idx="3">
                  <c:v>Dermatology</c:v>
                </c:pt>
              </c:strCache>
            </c:strRef>
          </c:cat>
          <c:val>
            <c:numRef>
              <c:f>Pivot_Data!$B$3:$B$7</c:f>
              <c:numCache>
                <c:formatCode>General</c:formatCode>
                <c:ptCount val="4"/>
                <c:pt idx="0">
                  <c:v>2</c:v>
                </c:pt>
                <c:pt idx="1">
                  <c:v>1</c:v>
                </c:pt>
                <c:pt idx="2">
                  <c:v>2</c:v>
                </c:pt>
                <c:pt idx="3">
                  <c:v>1</c:v>
                </c:pt>
              </c:numCache>
            </c:numRef>
          </c:val>
          <c:extLst>
            <c:ext xmlns:c16="http://schemas.microsoft.com/office/drawing/2014/chart" uri="{C3380CC4-5D6E-409C-BE32-E72D297353CC}">
              <c16:uniqueId val="{00000000-249D-4287-9B5C-2E432D84136F}"/>
            </c:ext>
          </c:extLst>
        </c:ser>
        <c:dLbls>
          <c:dLblPos val="outEnd"/>
          <c:showLegendKey val="0"/>
          <c:showVal val="1"/>
          <c:showCatName val="0"/>
          <c:showSerName val="0"/>
          <c:showPercent val="0"/>
          <c:showBubbleSize val="0"/>
        </c:dLbls>
        <c:gapWidth val="182"/>
        <c:axId val="236548879"/>
        <c:axId val="236558959"/>
      </c:barChart>
      <c:catAx>
        <c:axId val="236548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8959"/>
        <c:crosses val="autoZero"/>
        <c:auto val="1"/>
        <c:lblAlgn val="ctr"/>
        <c:lblOffset val="100"/>
        <c:noMultiLvlLbl val="0"/>
      </c:catAx>
      <c:valAx>
        <c:axId val="236558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4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[Hospital_Management_System.xlsm]Pivot_Data!Bed Occupancy Status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tx1"/>
                </a:solidFill>
              </a:rPr>
              <a:t>Bed Occupancy</a:t>
            </a:r>
            <a:endParaRPr lang="en-US" b="1" i="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Pivot_Data!$H$2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BB-48CF-87F6-74CDD07FA1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BB-48CF-87F6-74CDD07FA1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BB-48CF-87F6-74CDD07FA1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EBB-48CF-87F6-74CDD07FA1F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Pivot_Data!$G$3:$G$7</c:f>
              <c:strCache>
                <c:ptCount val="4"/>
                <c:pt idx="0">
                  <c:v>Available</c:v>
                </c:pt>
                <c:pt idx="1">
                  <c:v>Maintenance</c:v>
                </c:pt>
                <c:pt idx="2">
                  <c:v>Occupied</c:v>
                </c:pt>
                <c:pt idx="3">
                  <c:v>Reserved</c:v>
                </c:pt>
              </c:strCache>
            </c:strRef>
          </c:cat>
          <c:val>
            <c:numRef>
              <c:f>Pivot_Data!$H$3:$H$7</c:f>
              <c:numCache>
                <c:formatCode>General</c:formatCode>
                <c:ptCount val="4"/>
                <c:pt idx="0">
                  <c:v>10</c:v>
                </c:pt>
                <c:pt idx="1">
                  <c:v>2</c:v>
                </c:pt>
                <c:pt idx="2">
                  <c:v>6</c:v>
                </c:pt>
                <c:pt idx="3">
                  <c:v>2</c:v>
                </c:pt>
              </c:numCache>
            </c:numRef>
          </c:val>
          <c:extLst>
            <c:ext xmlns:c16="http://schemas.microsoft.com/office/drawing/2014/chart" uri="{C3380CC4-5D6E-409C-BE32-E72D297353CC}">
              <c16:uniqueId val="{00000008-BEBB-48CF-87F6-74CDD07FA1FB}"/>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[Hospital_Management_System.xlsm]Pivot_Data!Patient Status Distribution</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tx1"/>
                </a:solidFill>
              </a:rPr>
              <a:t>Patient Status Distribution</a:t>
            </a:r>
            <a:endParaRPr lang="en-US" b="1" i="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Pivot_Data!$AB$2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C6B-4C3F-A475-EFB3352DBB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67-4371-9797-41E0F818BF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67-4371-9797-41E0F818BF9E}"/>
              </c:ext>
            </c:extLst>
          </c:dPt>
          <c:dLbls>
            <c:dLbl>
              <c:idx val="0"/>
              <c:layout>
                <c:manualLayout>
                  <c:x val="0"/>
                  <c:y val="-0.10185185185185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6B-4C3F-A475-EFB3352DBB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Pivot_Data!$AA$3:$AA$6</c:f>
              <c:strCache>
                <c:ptCount val="3"/>
                <c:pt idx="0">
                  <c:v>Under Observation</c:v>
                </c:pt>
                <c:pt idx="1">
                  <c:v>Critical</c:v>
                </c:pt>
                <c:pt idx="2">
                  <c:v>Admitted</c:v>
                </c:pt>
              </c:strCache>
            </c:strRef>
          </c:cat>
          <c:val>
            <c:numRef>
              <c:f>Pivot_Data!$AB$3:$AB$6</c:f>
              <c:numCache>
                <c:formatCode>General</c:formatCode>
                <c:ptCount val="3"/>
                <c:pt idx="0">
                  <c:v>1</c:v>
                </c:pt>
                <c:pt idx="1">
                  <c:v>2</c:v>
                </c:pt>
                <c:pt idx="2">
                  <c:v>3</c:v>
                </c:pt>
              </c:numCache>
            </c:numRef>
          </c:val>
          <c:extLst>
            <c:ext xmlns:c16="http://schemas.microsoft.com/office/drawing/2014/chart" uri="{C3380CC4-5D6E-409C-BE32-E72D297353CC}">
              <c16:uniqueId val="{00000002-AC6B-4C3F-A475-EFB3352DBBF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[Hospital_Management_System.xlsm]Pivot_Data!Daily Admission Trend</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tx1"/>
                </a:solidFill>
              </a:rPr>
              <a:t>Daily Admissions Trend</a:t>
            </a:r>
            <a:endParaRPr lang="en-US" b="1" i="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Pivot_Data!$U$2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Pivot_Data!$T$3:$T$6</c:f>
              <c:strCache>
                <c:ptCount val="3"/>
                <c:pt idx="0">
                  <c:v>30-04-2026</c:v>
                </c:pt>
                <c:pt idx="1">
                  <c:v>28-04-2026</c:v>
                </c:pt>
                <c:pt idx="2">
                  <c:v>26-04-2026</c:v>
                </c:pt>
              </c:strCache>
            </c:strRef>
          </c:cat>
          <c:val>
            <c:numRef>
              <c:f>Pivot_Data!$U$3:$U$6</c:f>
              <c:numCache>
                <c:formatCode>General</c:formatCode>
                <c:ptCount val="3"/>
                <c:pt idx="0">
                  <c:v>4</c:v>
                </c:pt>
                <c:pt idx="1">
                  <c:v>1</c:v>
                </c:pt>
                <c:pt idx="2">
                  <c:v>1</c:v>
                </c:pt>
              </c:numCache>
            </c:numRef>
          </c:val>
          <c:smooth val="0"/>
          <c:extLst>
            <c:ext xmlns:c16="http://schemas.microsoft.com/office/drawing/2014/chart" uri="{C3380CC4-5D6E-409C-BE32-E72D297353CC}">
              <c16:uniqueId val="{00000000-63FD-4212-B9D8-52225C831239}"/>
            </c:ext>
          </c:extLst>
        </c:ser>
        <c:dLbls>
          <c:dLblPos val="t"/>
          <c:showLegendKey val="0"/>
          <c:showVal val="1"/>
          <c:showCatName val="0"/>
          <c:showSerName val="0"/>
          <c:showPercent val="0"/>
          <c:showBubbleSize val="0"/>
        </c:dLbls>
        <c:smooth val="0"/>
        <c:axId val="1445747183"/>
        <c:axId val="1445734223"/>
      </c:lineChart>
      <c:catAx>
        <c:axId val="144574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734223"/>
        <c:crosses val="autoZero"/>
        <c:auto val="1"/>
        <c:lblAlgn val="ctr"/>
        <c:lblOffset val="100"/>
        <c:noMultiLvlLbl val="0"/>
      </c:catAx>
      <c:valAx>
        <c:axId val="1445734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74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[Hospital_Management_System.xlsm]Pivot_Data!Doctor Workload</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0" baseline="0">
                <a:solidFill>
                  <a:schemeClr val="tx1"/>
                </a:solidFill>
              </a:rPr>
              <a:t>Doctor Workload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Pivot_Data!$N$2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Pivot_Data!$M$3:$M$13</c:f>
              <c:strCache>
                <c:ptCount val="10"/>
                <c:pt idx="0">
                  <c:v>Dr. Amit Sharma</c:v>
                </c:pt>
                <c:pt idx="1">
                  <c:v>Dr. Arjun Mehta</c:v>
                </c:pt>
                <c:pt idx="2">
                  <c:v>Dr. Kunal Joshi</c:v>
                </c:pt>
                <c:pt idx="3">
                  <c:v>Dr. Neha Verma</c:v>
                </c:pt>
                <c:pt idx="4">
                  <c:v>Dr. Priya Singh</c:v>
                </c:pt>
                <c:pt idx="5">
                  <c:v>Dr. Raj Malhotra</c:v>
                </c:pt>
                <c:pt idx="6">
                  <c:v>Dr. Ritu Jain</c:v>
                </c:pt>
                <c:pt idx="7">
                  <c:v>Dr. Sana Khan</c:v>
                </c:pt>
                <c:pt idx="8">
                  <c:v>Dr. Simran Kaur</c:v>
                </c:pt>
                <c:pt idx="9">
                  <c:v>Dr. Vivek Rao</c:v>
                </c:pt>
              </c:strCache>
            </c:strRef>
          </c:cat>
          <c:val>
            <c:numRef>
              <c:f>Pivot_Data!$N$3:$N$13</c:f>
              <c:numCache>
                <c:formatCode>0</c:formatCode>
                <c:ptCount val="10"/>
                <c:pt idx="0">
                  <c:v>0</c:v>
                </c:pt>
                <c:pt idx="1">
                  <c:v>2</c:v>
                </c:pt>
                <c:pt idx="2">
                  <c:v>0</c:v>
                </c:pt>
                <c:pt idx="3">
                  <c:v>1</c:v>
                </c:pt>
                <c:pt idx="4">
                  <c:v>0</c:v>
                </c:pt>
                <c:pt idx="5">
                  <c:v>2</c:v>
                </c:pt>
                <c:pt idx="6">
                  <c:v>0</c:v>
                </c:pt>
                <c:pt idx="7">
                  <c:v>0</c:v>
                </c:pt>
                <c:pt idx="8">
                  <c:v>0</c:v>
                </c:pt>
                <c:pt idx="9">
                  <c:v>1</c:v>
                </c:pt>
              </c:numCache>
            </c:numRef>
          </c:val>
          <c:extLst>
            <c:ext xmlns:c16="http://schemas.microsoft.com/office/drawing/2014/chart" uri="{C3380CC4-5D6E-409C-BE32-E72D297353CC}">
              <c16:uniqueId val="{00000000-0D94-47B9-BBB4-8C35B401339F}"/>
            </c:ext>
          </c:extLst>
        </c:ser>
        <c:dLbls>
          <c:dLblPos val="outEnd"/>
          <c:showLegendKey val="0"/>
          <c:showVal val="1"/>
          <c:showCatName val="0"/>
          <c:showSerName val="0"/>
          <c:showPercent val="0"/>
          <c:showBubbleSize val="0"/>
        </c:dLbls>
        <c:gapWidth val="182"/>
        <c:axId val="877927247"/>
        <c:axId val="877922927"/>
      </c:barChart>
      <c:catAx>
        <c:axId val="877927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922927"/>
        <c:crosses val="autoZero"/>
        <c:auto val="1"/>
        <c:lblAlgn val="ctr"/>
        <c:lblOffset val="100"/>
        <c:noMultiLvlLbl val="0"/>
      </c:catAx>
      <c:valAx>
        <c:axId val="87792292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927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19050</xdr:colOff>
      <xdr:row>21</xdr:row>
      <xdr:rowOff>176212</xdr:rowOff>
    </xdr:from>
    <xdr:to>
      <xdr:col>6</xdr:col>
      <xdr:colOff>38100</xdr:colOff>
      <xdr:row>36</xdr:row>
      <xdr:rowOff>61912</xdr:rowOff>
    </xdr:to>
    <xdr:graphicFrame macro="">
      <xdr:nvGraphicFramePr>
        <xdr:cNvPr id="2" name="Chart 1">
          <a:extLst>
            <a:ext uri="{FF2B5EF4-FFF2-40B4-BE49-F238E27FC236}">
              <a16:creationId xmlns:a16="http://schemas.microsoft.com/office/drawing/2014/main" id="{BDA36CBF-EB57-8FAD-104D-DF8A30D647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161925</xdr:colOff>
      <xdr:row>22</xdr:row>
      <xdr:rowOff>4762</xdr:rowOff>
    </xdr:from>
    <xdr:to>
      <xdr:col>10</xdr:col>
      <xdr:colOff>114300</xdr:colOff>
      <xdr:row>36</xdr:row>
      <xdr:rowOff>80962</xdr:rowOff>
    </xdr:to>
    <xdr:graphicFrame macro="">
      <xdr:nvGraphicFramePr>
        <xdr:cNvPr id="3" name="Chart 2">
          <a:extLst>
            <a:ext uri="{FF2B5EF4-FFF2-40B4-BE49-F238E27FC236}">
              <a16:creationId xmlns:a16="http://schemas.microsoft.com/office/drawing/2014/main" id="{61EECB4F-E264-7F48-F7A8-3E5368A3A0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22</xdr:row>
      <xdr:rowOff>4762</xdr:rowOff>
    </xdr:from>
    <xdr:to>
      <xdr:col>25</xdr:col>
      <xdr:colOff>19050</xdr:colOff>
      <xdr:row>36</xdr:row>
      <xdr:rowOff>80962</xdr:rowOff>
    </xdr:to>
    <xdr:graphicFrame macro="">
      <xdr:nvGraphicFramePr>
        <xdr:cNvPr id="5" name="Chart 4">
          <a:extLst>
            <a:ext uri="{FF2B5EF4-FFF2-40B4-BE49-F238E27FC236}">
              <a16:creationId xmlns:a16="http://schemas.microsoft.com/office/drawing/2014/main" id="{85582529-19DA-0E42-6668-94A0680042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19050</xdr:colOff>
      <xdr:row>22</xdr:row>
      <xdr:rowOff>33337</xdr:rowOff>
    </xdr:from>
    <xdr:to>
      <xdr:col>30</xdr:col>
      <xdr:colOff>38100</xdr:colOff>
      <xdr:row>36</xdr:row>
      <xdr:rowOff>109537</xdr:rowOff>
    </xdr:to>
    <xdr:graphicFrame macro="">
      <xdr:nvGraphicFramePr>
        <xdr:cNvPr id="6" name="Chart 5">
          <a:extLst>
            <a:ext uri="{FF2B5EF4-FFF2-40B4-BE49-F238E27FC236}">
              <a16:creationId xmlns:a16="http://schemas.microsoft.com/office/drawing/2014/main" id="{C772D45D-62BA-F67A-E902-C65913A3C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9525</xdr:colOff>
      <xdr:row>21</xdr:row>
      <xdr:rowOff>185737</xdr:rowOff>
    </xdr:from>
    <xdr:to>
      <xdr:col>17</xdr:col>
      <xdr:colOff>142875</xdr:colOff>
      <xdr:row>36</xdr:row>
      <xdr:rowOff>71437</xdr:rowOff>
    </xdr:to>
    <xdr:graphicFrame macro="">
      <xdr:nvGraphicFramePr>
        <xdr:cNvPr id="14" name="Chart 13">
          <a:extLst>
            <a:ext uri="{FF2B5EF4-FFF2-40B4-BE49-F238E27FC236}">
              <a16:creationId xmlns:a16="http://schemas.microsoft.com/office/drawing/2014/main" id="{56AD0744-FBEE-B525-BA67-05F766B30B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600075</xdr:colOff>
      <xdr:row>19</xdr:row>
      <xdr:rowOff>5442</xdr:rowOff>
    </xdr:from>
    <xdr:to>
      <xdr:col>9</xdr:col>
      <xdr:colOff>9525</xdr:colOff>
      <xdr:row>21</xdr:row>
      <xdr:rowOff>190499</xdr:rowOff>
    </xdr:to>
    <xdr:sp macro="[0]!Save_Patient_Data" textlink="">
      <xdr:nvSpPr>
        <xdr:cNvPr id="2" name="Rectangle 1">
          <a:extLst>
            <a:ext uri="{FF2B5EF4-FFF2-40B4-BE49-F238E27FC236}">
              <a16:creationId xmlns:a16="http://schemas.microsoft.com/office/drawing/2014/main" id="{0724F974-003B-27CE-498B-381ABF8EA604}"/>
            </a:ext>
          </a:extLst>
        </xdr:cNvPr>
        <xdr:cNvSpPr/>
      </xdr:nvSpPr>
      <xdr:spPr>
        <a:xfrm>
          <a:off x="3931502" y="3624942"/>
          <a:ext cx="2452803" cy="566057"/>
        </a:xfrm>
        <a:prstGeom prst="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Save Patient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582707</xdr:colOff>
      <xdr:row>15</xdr:row>
      <xdr:rowOff>179294</xdr:rowOff>
    </xdr:from>
    <xdr:to>
      <xdr:col>15</xdr:col>
      <xdr:colOff>470647</xdr:colOff>
      <xdr:row>30</xdr:row>
      <xdr:rowOff>66675</xdr:rowOff>
    </xdr:to>
    <xdr:graphicFrame macro="">
      <xdr:nvGraphicFramePr>
        <xdr:cNvPr id="2" name="Chart 1">
          <a:extLst>
            <a:ext uri="{FF2B5EF4-FFF2-40B4-BE49-F238E27FC236}">
              <a16:creationId xmlns:a16="http://schemas.microsoft.com/office/drawing/2014/main" id="{A40954B0-8587-4BF3-A833-0C7BB0316E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16</xdr:row>
      <xdr:rowOff>0</xdr:rowOff>
    </xdr:from>
    <xdr:to>
      <xdr:col>21</xdr:col>
      <xdr:colOff>0</xdr:colOff>
      <xdr:row>30</xdr:row>
      <xdr:rowOff>76200</xdr:rowOff>
    </xdr:to>
    <xdr:graphicFrame macro="">
      <xdr:nvGraphicFramePr>
        <xdr:cNvPr id="4" name="Chart 3">
          <a:extLst>
            <a:ext uri="{FF2B5EF4-FFF2-40B4-BE49-F238E27FC236}">
              <a16:creationId xmlns:a16="http://schemas.microsoft.com/office/drawing/2014/main" id="{111F8F15-D149-49A6-9CDA-C52EA6273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31</xdr:row>
      <xdr:rowOff>0</xdr:rowOff>
    </xdr:from>
    <xdr:to>
      <xdr:col>11</xdr:col>
      <xdr:colOff>190500</xdr:colOff>
      <xdr:row>45</xdr:row>
      <xdr:rowOff>76200</xdr:rowOff>
    </xdr:to>
    <xdr:graphicFrame macro="">
      <xdr:nvGraphicFramePr>
        <xdr:cNvPr id="5" name="Chart 4">
          <a:extLst>
            <a:ext uri="{FF2B5EF4-FFF2-40B4-BE49-F238E27FC236}">
              <a16:creationId xmlns:a16="http://schemas.microsoft.com/office/drawing/2014/main" id="{C10E5D29-5766-4A90-B9DA-13B2049A0A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46</xdr:row>
      <xdr:rowOff>0</xdr:rowOff>
    </xdr:from>
    <xdr:to>
      <xdr:col>21</xdr:col>
      <xdr:colOff>0</xdr:colOff>
      <xdr:row>55</xdr:row>
      <xdr:rowOff>89647</xdr:rowOff>
    </xdr:to>
    <xdr:graphicFrame macro="">
      <xdr:nvGraphicFramePr>
        <xdr:cNvPr id="6" name="Chart 5">
          <a:extLst>
            <a:ext uri="{FF2B5EF4-FFF2-40B4-BE49-F238E27FC236}">
              <a16:creationId xmlns:a16="http://schemas.microsoft.com/office/drawing/2014/main" id="{7471522A-E8F1-4A1B-B842-048B662AC9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593271</xdr:colOff>
      <xdr:row>20</xdr:row>
      <xdr:rowOff>28574</xdr:rowOff>
    </xdr:from>
    <xdr:to>
      <xdr:col>5</xdr:col>
      <xdr:colOff>352425</xdr:colOff>
      <xdr:row>27</xdr:row>
      <xdr:rowOff>38099</xdr:rowOff>
    </xdr:to>
    <mc:AlternateContent xmlns:mc="http://schemas.openxmlformats.org/markup-compatibility/2006" xmlns:a14="http://schemas.microsoft.com/office/drawing/2010/main">
      <mc:Choice Requires="a14">
        <xdr:graphicFrame macro="">
          <xdr:nvGraphicFramePr>
            <xdr:cNvPr id="13" name="Patient_Name 1">
              <a:extLst>
                <a:ext uri="{FF2B5EF4-FFF2-40B4-BE49-F238E27FC236}">
                  <a16:creationId xmlns:a16="http://schemas.microsoft.com/office/drawing/2014/main" id="{7CCDF57E-D96E-475E-9E67-84A823D7C3F0}"/>
                </a:ext>
              </a:extLst>
            </xdr:cNvPr>
            <xdr:cNvGraphicFramePr/>
          </xdr:nvGraphicFramePr>
          <xdr:xfrm>
            <a:off x="0" y="0"/>
            <a:ext cx="0" cy="0"/>
          </xdr:xfrm>
          <a:graphic>
            <a:graphicData uri="http://schemas.microsoft.com/office/drawing/2010/slicer">
              <sle:slicer xmlns:sle="http://schemas.microsoft.com/office/drawing/2010/slicer" name="Patient_Name 1"/>
            </a:graphicData>
          </a:graphic>
        </xdr:graphicFrame>
      </mc:Choice>
      <mc:Fallback xmlns="">
        <xdr:sp macro="" textlink="">
          <xdr:nvSpPr>
            <xdr:cNvPr id="0" name=""/>
            <xdr:cNvSpPr>
              <a:spLocks noTextEdit="1"/>
            </xdr:cNvSpPr>
          </xdr:nvSpPr>
          <xdr:spPr>
            <a:xfrm>
              <a:off x="1812471" y="3895724"/>
              <a:ext cx="1587954" cy="1343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595993</xdr:colOff>
      <xdr:row>11</xdr:row>
      <xdr:rowOff>166006</xdr:rowOff>
    </xdr:from>
    <xdr:to>
      <xdr:col>5</xdr:col>
      <xdr:colOff>371475</xdr:colOff>
      <xdr:row>19</xdr:row>
      <xdr:rowOff>76200</xdr:rowOff>
    </xdr:to>
    <mc:AlternateContent xmlns:mc="http://schemas.openxmlformats.org/markup-compatibility/2006" xmlns:a14="http://schemas.microsoft.com/office/drawing/2010/main">
      <mc:Choice Requires="a14">
        <xdr:graphicFrame macro="">
          <xdr:nvGraphicFramePr>
            <xdr:cNvPr id="14" name="Gender 1">
              <a:extLst>
                <a:ext uri="{FF2B5EF4-FFF2-40B4-BE49-F238E27FC236}">
                  <a16:creationId xmlns:a16="http://schemas.microsoft.com/office/drawing/2014/main" id="{DFEA9694-F967-451D-A685-560CB534FBB4}"/>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815193" y="2318656"/>
              <a:ext cx="1604282" cy="14341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604157</xdr:colOff>
      <xdr:row>4</xdr:row>
      <xdr:rowOff>12245</xdr:rowOff>
    </xdr:from>
    <xdr:to>
      <xdr:col>5</xdr:col>
      <xdr:colOff>419100</xdr:colOff>
      <xdr:row>11</xdr:row>
      <xdr:rowOff>38100</xdr:rowOff>
    </xdr:to>
    <mc:AlternateContent xmlns:mc="http://schemas.openxmlformats.org/markup-compatibility/2006" xmlns:a14="http://schemas.microsoft.com/office/drawing/2010/main">
      <mc:Choice Requires="a14">
        <xdr:graphicFrame macro="">
          <xdr:nvGraphicFramePr>
            <xdr:cNvPr id="15" name="Department 1">
              <a:extLst>
                <a:ext uri="{FF2B5EF4-FFF2-40B4-BE49-F238E27FC236}">
                  <a16:creationId xmlns:a16="http://schemas.microsoft.com/office/drawing/2014/main" id="{7E63FAFD-BD95-4E38-BEB3-3DC6DFA9A1D2}"/>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823357" y="783770"/>
              <a:ext cx="1643743" cy="1406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88446</xdr:colOff>
      <xdr:row>27</xdr:row>
      <xdr:rowOff>178252</xdr:rowOff>
    </xdr:from>
    <xdr:to>
      <xdr:col>2</xdr:col>
      <xdr:colOff>466725</xdr:colOff>
      <xdr:row>34</xdr:row>
      <xdr:rowOff>190499</xdr:rowOff>
    </xdr:to>
    <mc:AlternateContent xmlns:mc="http://schemas.openxmlformats.org/markup-compatibility/2006" xmlns:a14="http://schemas.microsoft.com/office/drawing/2010/main">
      <mc:Choice Requires="a14">
        <xdr:graphicFrame macro="">
          <xdr:nvGraphicFramePr>
            <xdr:cNvPr id="16" name="Patient_Status 1">
              <a:extLst>
                <a:ext uri="{FF2B5EF4-FFF2-40B4-BE49-F238E27FC236}">
                  <a16:creationId xmlns:a16="http://schemas.microsoft.com/office/drawing/2014/main" id="{6CA47A28-5E50-47E5-AE27-4E26F4B99744}"/>
                </a:ext>
              </a:extLst>
            </xdr:cNvPr>
            <xdr:cNvGraphicFramePr/>
          </xdr:nvGraphicFramePr>
          <xdr:xfrm>
            <a:off x="0" y="0"/>
            <a:ext cx="0" cy="0"/>
          </xdr:xfrm>
          <a:graphic>
            <a:graphicData uri="http://schemas.microsoft.com/office/drawing/2010/slicer">
              <sle:slicer xmlns:sle="http://schemas.microsoft.com/office/drawing/2010/slicer" name="Patient_Status 1"/>
            </a:graphicData>
          </a:graphic>
        </xdr:graphicFrame>
      </mc:Choice>
      <mc:Fallback xmlns="">
        <xdr:sp macro="" textlink="">
          <xdr:nvSpPr>
            <xdr:cNvPr id="0" name=""/>
            <xdr:cNvSpPr>
              <a:spLocks noTextEdit="1"/>
            </xdr:cNvSpPr>
          </xdr:nvSpPr>
          <xdr:spPr>
            <a:xfrm>
              <a:off x="88446" y="5378902"/>
              <a:ext cx="1597479" cy="13457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84365</xdr:colOff>
      <xdr:row>20</xdr:row>
      <xdr:rowOff>29935</xdr:rowOff>
    </xdr:from>
    <xdr:to>
      <xdr:col>2</xdr:col>
      <xdr:colOff>457200</xdr:colOff>
      <xdr:row>27</xdr:row>
      <xdr:rowOff>85724</xdr:rowOff>
    </xdr:to>
    <mc:AlternateContent xmlns:mc="http://schemas.openxmlformats.org/markup-compatibility/2006" xmlns:a14="http://schemas.microsoft.com/office/drawing/2010/main">
      <mc:Choice Requires="a14">
        <xdr:graphicFrame macro="">
          <xdr:nvGraphicFramePr>
            <xdr:cNvPr id="17" name="Admission_Type 1">
              <a:extLst>
                <a:ext uri="{FF2B5EF4-FFF2-40B4-BE49-F238E27FC236}">
                  <a16:creationId xmlns:a16="http://schemas.microsoft.com/office/drawing/2014/main" id="{26BCC811-C361-4019-9082-2123D51617BF}"/>
                </a:ext>
              </a:extLst>
            </xdr:cNvPr>
            <xdr:cNvGraphicFramePr/>
          </xdr:nvGraphicFramePr>
          <xdr:xfrm>
            <a:off x="0" y="0"/>
            <a:ext cx="0" cy="0"/>
          </xdr:xfrm>
          <a:graphic>
            <a:graphicData uri="http://schemas.microsoft.com/office/drawing/2010/slicer">
              <sle:slicer xmlns:sle="http://schemas.microsoft.com/office/drawing/2010/slicer" name="Admission_Type 1"/>
            </a:graphicData>
          </a:graphic>
        </xdr:graphicFrame>
      </mc:Choice>
      <mc:Fallback xmlns="">
        <xdr:sp macro="" textlink="">
          <xdr:nvSpPr>
            <xdr:cNvPr id="0" name=""/>
            <xdr:cNvSpPr>
              <a:spLocks noTextEdit="1"/>
            </xdr:cNvSpPr>
          </xdr:nvSpPr>
          <xdr:spPr>
            <a:xfrm>
              <a:off x="84365" y="3897085"/>
              <a:ext cx="1592035" cy="13892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80282</xdr:colOff>
      <xdr:row>12</xdr:row>
      <xdr:rowOff>10885</xdr:rowOff>
    </xdr:from>
    <xdr:to>
      <xdr:col>2</xdr:col>
      <xdr:colOff>476250</xdr:colOff>
      <xdr:row>19</xdr:row>
      <xdr:rowOff>85725</xdr:rowOff>
    </xdr:to>
    <mc:AlternateContent xmlns:mc="http://schemas.openxmlformats.org/markup-compatibility/2006" xmlns:a14="http://schemas.microsoft.com/office/drawing/2010/main">
      <mc:Choice Requires="a14">
        <xdr:graphicFrame macro="">
          <xdr:nvGraphicFramePr>
            <xdr:cNvPr id="18" name="Bed_Type 1">
              <a:extLst>
                <a:ext uri="{FF2B5EF4-FFF2-40B4-BE49-F238E27FC236}">
                  <a16:creationId xmlns:a16="http://schemas.microsoft.com/office/drawing/2014/main" id="{1331D180-16E4-40DF-8065-AA71DF8A2367}"/>
                </a:ext>
              </a:extLst>
            </xdr:cNvPr>
            <xdr:cNvGraphicFramePr/>
          </xdr:nvGraphicFramePr>
          <xdr:xfrm>
            <a:off x="0" y="0"/>
            <a:ext cx="0" cy="0"/>
          </xdr:xfrm>
          <a:graphic>
            <a:graphicData uri="http://schemas.microsoft.com/office/drawing/2010/slicer">
              <sle:slicer xmlns:sle="http://schemas.microsoft.com/office/drawing/2010/slicer" name="Bed_Type 1"/>
            </a:graphicData>
          </a:graphic>
        </xdr:graphicFrame>
      </mc:Choice>
      <mc:Fallback xmlns="">
        <xdr:sp macro="" textlink="">
          <xdr:nvSpPr>
            <xdr:cNvPr id="0" name=""/>
            <xdr:cNvSpPr>
              <a:spLocks noTextEdit="1"/>
            </xdr:cNvSpPr>
          </xdr:nvSpPr>
          <xdr:spPr>
            <a:xfrm>
              <a:off x="80282" y="2354035"/>
              <a:ext cx="1615168" cy="1408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4</xdr:row>
      <xdr:rowOff>10886</xdr:rowOff>
    </xdr:from>
    <xdr:to>
      <xdr:col>2</xdr:col>
      <xdr:colOff>504825</xdr:colOff>
      <xdr:row>11</xdr:row>
      <xdr:rowOff>57150</xdr:rowOff>
    </xdr:to>
    <mc:AlternateContent xmlns:mc="http://schemas.openxmlformats.org/markup-compatibility/2006" xmlns:a14="http://schemas.microsoft.com/office/drawing/2010/main">
      <mc:Choice Requires="a14">
        <xdr:graphicFrame macro="">
          <xdr:nvGraphicFramePr>
            <xdr:cNvPr id="19" name="Assigned_Doctor_Name 1">
              <a:extLst>
                <a:ext uri="{FF2B5EF4-FFF2-40B4-BE49-F238E27FC236}">
                  <a16:creationId xmlns:a16="http://schemas.microsoft.com/office/drawing/2014/main" id="{3C8F6B3C-DF53-4E9B-B056-F06C8507F7D0}"/>
                </a:ext>
              </a:extLst>
            </xdr:cNvPr>
            <xdr:cNvGraphicFramePr/>
          </xdr:nvGraphicFramePr>
          <xdr:xfrm>
            <a:off x="0" y="0"/>
            <a:ext cx="0" cy="0"/>
          </xdr:xfrm>
          <a:graphic>
            <a:graphicData uri="http://schemas.microsoft.com/office/drawing/2010/slicer">
              <sle:slicer xmlns:sle="http://schemas.microsoft.com/office/drawing/2010/slicer" name="Assigned_Doctor_Name 1"/>
            </a:graphicData>
          </a:graphic>
        </xdr:graphicFrame>
      </mc:Choice>
      <mc:Fallback xmlns="">
        <xdr:sp macro="" textlink="">
          <xdr:nvSpPr>
            <xdr:cNvPr id="0" name=""/>
            <xdr:cNvSpPr>
              <a:spLocks noTextEdit="1"/>
            </xdr:cNvSpPr>
          </xdr:nvSpPr>
          <xdr:spPr>
            <a:xfrm>
              <a:off x="95250" y="782411"/>
              <a:ext cx="1628775" cy="14273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571500</xdr:colOff>
      <xdr:row>35</xdr:row>
      <xdr:rowOff>104775</xdr:rowOff>
    </xdr:from>
    <xdr:to>
      <xdr:col>5</xdr:col>
      <xdr:colOff>314325</xdr:colOff>
      <xdr:row>42</xdr:row>
      <xdr:rowOff>76200</xdr:rowOff>
    </xdr:to>
    <mc:AlternateContent xmlns:mc="http://schemas.openxmlformats.org/markup-compatibility/2006" xmlns:a14="http://schemas.microsoft.com/office/drawing/2010/main">
      <mc:Choice Requires="a14">
        <xdr:graphicFrame macro="">
          <xdr:nvGraphicFramePr>
            <xdr:cNvPr id="20" name="Department">
              <a:extLst>
                <a:ext uri="{FF2B5EF4-FFF2-40B4-BE49-F238E27FC236}">
                  <a16:creationId xmlns:a16="http://schemas.microsoft.com/office/drawing/2014/main" id="{3BF24DFF-1579-CD3C-827F-6F19E9CA95B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790700" y="6829425"/>
              <a:ext cx="1571625" cy="1304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35</xdr:row>
      <xdr:rowOff>85726</xdr:rowOff>
    </xdr:from>
    <xdr:to>
      <xdr:col>2</xdr:col>
      <xdr:colOff>457200</xdr:colOff>
      <xdr:row>42</xdr:row>
      <xdr:rowOff>66676</xdr:rowOff>
    </xdr:to>
    <mc:AlternateContent xmlns:mc="http://schemas.openxmlformats.org/markup-compatibility/2006" xmlns:a14="http://schemas.microsoft.com/office/drawing/2010/main">
      <mc:Choice Requires="a14">
        <xdr:graphicFrame macro="">
          <xdr:nvGraphicFramePr>
            <xdr:cNvPr id="21" name="Bed_Type">
              <a:extLst>
                <a:ext uri="{FF2B5EF4-FFF2-40B4-BE49-F238E27FC236}">
                  <a16:creationId xmlns:a16="http://schemas.microsoft.com/office/drawing/2014/main" id="{D2C8907D-A22B-749B-8B3F-5ABDD96883EA}"/>
                </a:ext>
              </a:extLst>
            </xdr:cNvPr>
            <xdr:cNvGraphicFramePr/>
          </xdr:nvGraphicFramePr>
          <xdr:xfrm>
            <a:off x="0" y="0"/>
            <a:ext cx="0" cy="0"/>
          </xdr:xfrm>
          <a:graphic>
            <a:graphicData uri="http://schemas.microsoft.com/office/drawing/2010/slicer">
              <sle:slicer xmlns:sle="http://schemas.microsoft.com/office/drawing/2010/slicer" name="Bed_Type"/>
            </a:graphicData>
          </a:graphic>
        </xdr:graphicFrame>
      </mc:Choice>
      <mc:Fallback xmlns="">
        <xdr:sp macro="" textlink="">
          <xdr:nvSpPr>
            <xdr:cNvPr id="0" name=""/>
            <xdr:cNvSpPr>
              <a:spLocks noTextEdit="1"/>
            </xdr:cNvSpPr>
          </xdr:nvSpPr>
          <xdr:spPr>
            <a:xfrm>
              <a:off x="76200" y="6810376"/>
              <a:ext cx="1600200" cy="1314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590550</xdr:colOff>
      <xdr:row>28</xdr:row>
      <xdr:rowOff>9526</xdr:rowOff>
    </xdr:from>
    <xdr:to>
      <xdr:col>5</xdr:col>
      <xdr:colOff>342900</xdr:colOff>
      <xdr:row>35</xdr:row>
      <xdr:rowOff>9526</xdr:rowOff>
    </xdr:to>
    <mc:AlternateContent xmlns:mc="http://schemas.openxmlformats.org/markup-compatibility/2006" xmlns:a14="http://schemas.microsoft.com/office/drawing/2010/main">
      <mc:Choice Requires="a14">
        <xdr:graphicFrame macro="">
          <xdr:nvGraphicFramePr>
            <xdr:cNvPr id="22" name="Bed_Status">
              <a:extLst>
                <a:ext uri="{FF2B5EF4-FFF2-40B4-BE49-F238E27FC236}">
                  <a16:creationId xmlns:a16="http://schemas.microsoft.com/office/drawing/2014/main" id="{9B0C456A-5BEE-742C-7738-F5433DD320D5}"/>
                </a:ext>
              </a:extLst>
            </xdr:cNvPr>
            <xdr:cNvGraphicFramePr/>
          </xdr:nvGraphicFramePr>
          <xdr:xfrm>
            <a:off x="0" y="0"/>
            <a:ext cx="0" cy="0"/>
          </xdr:xfrm>
          <a:graphic>
            <a:graphicData uri="http://schemas.microsoft.com/office/drawing/2010/slicer">
              <sle:slicer xmlns:sle="http://schemas.microsoft.com/office/drawing/2010/slicer" name="Bed_Status"/>
            </a:graphicData>
          </a:graphic>
        </xdr:graphicFrame>
      </mc:Choice>
      <mc:Fallback xmlns="">
        <xdr:sp macro="" textlink="">
          <xdr:nvSpPr>
            <xdr:cNvPr id="0" name=""/>
            <xdr:cNvSpPr>
              <a:spLocks noTextEdit="1"/>
            </xdr:cNvSpPr>
          </xdr:nvSpPr>
          <xdr:spPr>
            <a:xfrm>
              <a:off x="1809750" y="5400676"/>
              <a:ext cx="1581150" cy="1333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609599</xdr:colOff>
      <xdr:row>31</xdr:row>
      <xdr:rowOff>0</xdr:rowOff>
    </xdr:from>
    <xdr:to>
      <xdr:col>20</xdr:col>
      <xdr:colOff>600074</xdr:colOff>
      <xdr:row>45</xdr:row>
      <xdr:rowOff>76200</xdr:rowOff>
    </xdr:to>
    <xdr:graphicFrame macro="">
      <xdr:nvGraphicFramePr>
        <xdr:cNvPr id="31" name="Chart 30">
          <a:extLst>
            <a:ext uri="{FF2B5EF4-FFF2-40B4-BE49-F238E27FC236}">
              <a16:creationId xmlns:a16="http://schemas.microsoft.com/office/drawing/2014/main" id="{DA5DCC90-3878-4265-93C1-2A2764105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9525</xdr:colOff>
      <xdr:row>33</xdr:row>
      <xdr:rowOff>114300</xdr:rowOff>
    </xdr:from>
    <xdr:to>
      <xdr:col>29</xdr:col>
      <xdr:colOff>9525</xdr:colOff>
      <xdr:row>39</xdr:row>
      <xdr:rowOff>142875</xdr:rowOff>
    </xdr:to>
    <mc:AlternateContent xmlns:mc="http://schemas.openxmlformats.org/markup-compatibility/2006" xmlns:a14="http://schemas.microsoft.com/office/drawing/2010/main">
      <mc:Choice Requires="a14">
        <xdr:graphicFrame macro="">
          <xdr:nvGraphicFramePr>
            <xdr:cNvPr id="32" name="Doctor_Name">
              <a:extLst>
                <a:ext uri="{FF2B5EF4-FFF2-40B4-BE49-F238E27FC236}">
                  <a16:creationId xmlns:a16="http://schemas.microsoft.com/office/drawing/2014/main" id="{7FEB7B77-4CD5-659B-8D37-41DF34726B2E}"/>
                </a:ext>
              </a:extLst>
            </xdr:cNvPr>
            <xdr:cNvGraphicFramePr/>
          </xdr:nvGraphicFramePr>
          <xdr:xfrm>
            <a:off x="0" y="0"/>
            <a:ext cx="0" cy="0"/>
          </xdr:xfrm>
          <a:graphic>
            <a:graphicData uri="http://schemas.microsoft.com/office/drawing/2010/slicer">
              <sle:slicer xmlns:sle="http://schemas.microsoft.com/office/drawing/2010/slicer" name="Doctor_Name"/>
            </a:graphicData>
          </a:graphic>
        </xdr:graphicFrame>
      </mc:Choice>
      <mc:Fallback xmlns="">
        <xdr:sp macro="" textlink="">
          <xdr:nvSpPr>
            <xdr:cNvPr id="0" name=""/>
            <xdr:cNvSpPr>
              <a:spLocks noTextEdit="1"/>
            </xdr:cNvSpPr>
          </xdr:nvSpPr>
          <xdr:spPr>
            <a:xfrm>
              <a:off x="13020675" y="6457950"/>
              <a:ext cx="4667250" cy="1171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19050</xdr:colOff>
      <xdr:row>27</xdr:row>
      <xdr:rowOff>9526</xdr:rowOff>
    </xdr:from>
    <xdr:to>
      <xdr:col>29</xdr:col>
      <xdr:colOff>19050</xdr:colOff>
      <xdr:row>33</xdr:row>
      <xdr:rowOff>28576</xdr:rowOff>
    </xdr:to>
    <mc:AlternateContent xmlns:mc="http://schemas.openxmlformats.org/markup-compatibility/2006" xmlns:a14="http://schemas.microsoft.com/office/drawing/2010/main">
      <mc:Choice Requires="a14">
        <xdr:graphicFrame macro="">
          <xdr:nvGraphicFramePr>
            <xdr:cNvPr id="33" name="Department 2">
              <a:extLst>
                <a:ext uri="{FF2B5EF4-FFF2-40B4-BE49-F238E27FC236}">
                  <a16:creationId xmlns:a16="http://schemas.microsoft.com/office/drawing/2014/main" id="{705C710D-7355-1292-ACC5-4420C8264EDB}"/>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13011150" y="5210176"/>
              <a:ext cx="4686300" cy="1162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40</xdr:row>
      <xdr:rowOff>9526</xdr:rowOff>
    </xdr:from>
    <xdr:to>
      <xdr:col>29</xdr:col>
      <xdr:colOff>0</xdr:colOff>
      <xdr:row>44</xdr:row>
      <xdr:rowOff>28575</xdr:rowOff>
    </xdr:to>
    <mc:AlternateContent xmlns:mc="http://schemas.openxmlformats.org/markup-compatibility/2006" xmlns:a14="http://schemas.microsoft.com/office/drawing/2010/main">
      <mc:Choice Requires="a14">
        <xdr:graphicFrame macro="">
          <xdr:nvGraphicFramePr>
            <xdr:cNvPr id="34" name="Availability_Status">
              <a:extLst>
                <a:ext uri="{FF2B5EF4-FFF2-40B4-BE49-F238E27FC236}">
                  <a16:creationId xmlns:a16="http://schemas.microsoft.com/office/drawing/2014/main" id="{E15C3F0D-D745-D9FD-77BD-9453F0C5ED60}"/>
                </a:ext>
              </a:extLst>
            </xdr:cNvPr>
            <xdr:cNvGraphicFramePr/>
          </xdr:nvGraphicFramePr>
          <xdr:xfrm>
            <a:off x="0" y="0"/>
            <a:ext cx="0" cy="0"/>
          </xdr:xfrm>
          <a:graphic>
            <a:graphicData uri="http://schemas.microsoft.com/office/drawing/2010/slicer">
              <sle:slicer xmlns:sle="http://schemas.microsoft.com/office/drawing/2010/slicer" name="Availability_Status"/>
            </a:graphicData>
          </a:graphic>
        </xdr:graphicFrame>
      </mc:Choice>
      <mc:Fallback xmlns="">
        <xdr:sp macro="" textlink="">
          <xdr:nvSpPr>
            <xdr:cNvPr id="0" name=""/>
            <xdr:cNvSpPr>
              <a:spLocks noTextEdit="1"/>
            </xdr:cNvSpPr>
          </xdr:nvSpPr>
          <xdr:spPr>
            <a:xfrm>
              <a:off x="13030200" y="7686676"/>
              <a:ext cx="4648200" cy="781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590550</xdr:colOff>
      <xdr:row>3</xdr:row>
      <xdr:rowOff>180976</xdr:rowOff>
    </xdr:from>
    <xdr:to>
      <xdr:col>28</xdr:col>
      <xdr:colOff>609599</xdr:colOff>
      <xdr:row>8</xdr:row>
      <xdr:rowOff>85726</xdr:rowOff>
    </xdr:to>
    <mc:AlternateContent xmlns:mc="http://schemas.openxmlformats.org/markup-compatibility/2006" xmlns:tsle="http://schemas.microsoft.com/office/drawing/2012/timeslicer">
      <mc:Choice Requires="tsle">
        <xdr:graphicFrame macro="">
          <xdr:nvGraphicFramePr>
            <xdr:cNvPr id="35" name="Admission_Date">
              <a:extLst>
                <a:ext uri="{FF2B5EF4-FFF2-40B4-BE49-F238E27FC236}">
                  <a16:creationId xmlns:a16="http://schemas.microsoft.com/office/drawing/2014/main" id="{61F768ED-1C2E-882E-AA37-49A6AE6F7446}"/>
                </a:ext>
              </a:extLst>
            </xdr:cNvPr>
            <xdr:cNvGraphicFramePr/>
          </xdr:nvGraphicFramePr>
          <xdr:xfrm>
            <a:off x="0" y="0"/>
            <a:ext cx="0" cy="0"/>
          </xdr:xfrm>
          <a:graphic>
            <a:graphicData uri="http://schemas.microsoft.com/office/drawing/2012/timeslicer">
              <tsle:timeslicer name="Admission_Date"/>
            </a:graphicData>
          </a:graphic>
        </xdr:graphicFrame>
      </mc:Choice>
      <mc:Fallback xmlns="">
        <xdr:sp macro="" textlink="">
          <xdr:nvSpPr>
            <xdr:cNvPr id="0" name=""/>
            <xdr:cNvSpPr>
              <a:spLocks noTextEdit="1"/>
            </xdr:cNvSpPr>
          </xdr:nvSpPr>
          <xdr:spPr>
            <a:xfrm>
              <a:off x="13020674" y="762000"/>
              <a:ext cx="4657725" cy="11144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ul" refreshedDate="46144.002857060186" createdVersion="8" refreshedVersion="8" minRefreshableVersion="3" recordCount="10" xr:uid="{8E7369E1-4EEA-43A9-8B87-CAF625DEB7E4}">
  <cacheSource type="worksheet">
    <worksheetSource name="Table14"/>
  </cacheSource>
  <cacheFields count="9">
    <cacheField name="Doctor_ID" numFmtId="0">
      <sharedItems/>
    </cacheField>
    <cacheField name="Doctor_Name" numFmtId="0">
      <sharedItems count="10">
        <s v="Dr. Amit Sharma"/>
        <s v="Dr. Neha Verma"/>
        <s v="Dr. Raj Malhotra"/>
        <s v="Dr. Priya Singh"/>
        <s v="Dr. Arjun Mehta"/>
        <s v="Dr. Simran Kaur"/>
        <s v="Dr. Vivek Rao"/>
        <s v="Dr. Sana Khan"/>
        <s v="Dr. Kunal Joshi"/>
        <s v="Dr. Ritu Jain"/>
      </sharedItems>
    </cacheField>
    <cacheField name="Department" numFmtId="0">
      <sharedItems count="10">
        <s v="General Medicine"/>
        <s v="Cardiology"/>
        <s v="Neurology"/>
        <s v="Orthopedics"/>
        <s v="Pediatrics"/>
        <s v="Emergency"/>
        <s v="Dermatology"/>
        <s v="Urology"/>
        <s v="Oncology"/>
        <s v="Gynecology"/>
      </sharedItems>
    </cacheField>
    <cacheField name="Specialization" numFmtId="0">
      <sharedItems/>
    </cacheField>
    <cacheField name="Max_Patient_Capacity" numFmtId="0">
      <sharedItems containsSemiMixedTypes="0" containsString="0" containsNumber="1" containsInteger="1" minValue="2" maxValue="6"/>
    </cacheField>
    <cacheField name="Current_Assigned" numFmtId="1">
      <sharedItems containsSemiMixedTypes="0" containsString="0" containsNumber="1" containsInteger="1" minValue="0" maxValue="2"/>
    </cacheField>
    <cacheField name="Availability_Status" numFmtId="0">
      <sharedItems count="2">
        <s v="Available"/>
        <s v="Busy"/>
      </sharedItems>
    </cacheField>
    <cacheField name="Experience_Years" numFmtId="0">
      <sharedItems containsSemiMixedTypes="0" containsString="0" containsNumber="1" containsInteger="1" minValue="6" maxValue="20"/>
    </cacheField>
    <cacheField name="Consultation_Fee" numFmtId="0">
      <sharedItems containsSemiMixedTypes="0" containsString="0" containsNumber="1" containsInteger="1" minValue="500" maxValue="2000"/>
    </cacheField>
  </cacheFields>
  <extLst>
    <ext xmlns:x14="http://schemas.microsoft.com/office/spreadsheetml/2009/9/main" uri="{725AE2AE-9491-48be-B2B4-4EB974FC3084}">
      <x14:pivotCacheDefinition pivotCacheId="181849131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ul" refreshedDate="46144.002857407409" createdVersion="8" refreshedVersion="8" minRefreshableVersion="3" recordCount="20" xr:uid="{8FE7A7C3-5AB1-4B67-BB13-7FAA5236561C}">
  <cacheSource type="worksheet">
    <worksheetSource name="Table12"/>
  </cacheSource>
  <cacheFields count="10">
    <cacheField name="Bed_ID" numFmtId="0">
      <sharedItems/>
    </cacheField>
    <cacheField name="Department" numFmtId="0">
      <sharedItems count="13">
        <s v="General Medicine"/>
        <s v="Cardiology"/>
        <s v="Pediatrics"/>
        <s v="Gynecology"/>
        <s v="Neurology"/>
        <s v="Dermatology"/>
        <s v="ICU"/>
        <s v="Emergency"/>
        <s v="ENT"/>
        <s v="Urology"/>
        <s v="Gastroenterology"/>
        <s v="Psychiatry"/>
        <s v="Orthopedics"/>
      </sharedItems>
    </cacheField>
    <cacheField name="Bed_Type" numFmtId="0">
      <sharedItems count="6">
        <s v="General"/>
        <s v="ICU"/>
        <s v="Semi-Private"/>
        <s v="Ventilator"/>
        <s v="Private"/>
        <s v="Emergency"/>
      </sharedItems>
    </cacheField>
    <cacheField name="Floor" numFmtId="0">
      <sharedItems containsSemiMixedTypes="0" containsString="0" containsNumber="1" containsInteger="1" minValue="1" maxValue="3"/>
    </cacheField>
    <cacheField name="Room_No" numFmtId="0">
      <sharedItems/>
    </cacheField>
    <cacheField name="Bed_Status" numFmtId="0">
      <sharedItems count="4">
        <s v="Available"/>
        <s v="Occupied"/>
        <s v="Reserved"/>
        <s v="Maintenance"/>
      </sharedItems>
    </cacheField>
    <cacheField name="Assigned_Patient_ID" numFmtId="0">
      <sharedItems containsBlank="1"/>
    </cacheField>
    <cacheField name="Admission_Date" numFmtId="0">
      <sharedItems containsNonDate="0" containsDate="1" containsString="0" containsBlank="1" minDate="2026-04-30T00:00:00" maxDate="2026-05-03T00:00:00"/>
    </cacheField>
    <cacheField name="Expected_Discharge" numFmtId="0">
      <sharedItems containsNonDate="0" containsDate="1" containsString="0" containsBlank="1" minDate="2026-05-04T00:00:00" maxDate="2026-05-10T00:00:00"/>
    </cacheField>
    <cacheField name="Priority_Reserved" numFmtId="0">
      <sharedItems containsNonDate="0" containsString="0" containsBlank="1"/>
    </cacheField>
  </cacheFields>
  <extLst>
    <ext xmlns:x14="http://schemas.microsoft.com/office/spreadsheetml/2009/9/main" uri="{725AE2AE-9491-48be-B2B4-4EB974FC3084}">
      <x14:pivotCacheDefinition pivotCacheId="20388773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ul" refreshedDate="46144.002857407409" createdVersion="8" refreshedVersion="8" minRefreshableVersion="3" recordCount="6" xr:uid="{1BB1B5F2-26CE-4777-B750-A873AB5E59BD}">
  <cacheSource type="worksheet">
    <worksheetSource name="tbl_Patients"/>
  </cacheSource>
  <cacheFields count="23">
    <cacheField name="Patient_ID" numFmtId="0">
      <sharedItems/>
    </cacheField>
    <cacheField name="Patient_Name" numFmtId="0">
      <sharedItems count="7">
        <s v="Tim David"/>
        <s v="Ravi Mathur"/>
        <s v="Naman Meena"/>
        <s v="Monika Jain"/>
        <s v="Shahid Kapoor"/>
        <s v="Shubham Jain"/>
        <s v="Kiran Sharma" u="1"/>
      </sharedItems>
    </cacheField>
    <cacheField name="Gender" numFmtId="0">
      <sharedItems count="2">
        <s v="Male"/>
        <s v="Female"/>
      </sharedItems>
    </cacheField>
    <cacheField name="DOB" numFmtId="14">
      <sharedItems containsSemiMixedTypes="0" containsNonDate="0" containsDate="1" containsString="0" minDate="1978-11-15T00:00:00" maxDate="2013-09-30T00:00:00"/>
    </cacheField>
    <cacheField name="Age" numFmtId="0">
      <sharedItems containsSemiMixedTypes="0" containsString="0" containsNumber="1" containsInteger="1" minValue="12" maxValue="47"/>
    </cacheField>
    <cacheField name="Blood_Group" numFmtId="0">
      <sharedItems/>
    </cacheField>
    <cacheField name="Contact_Number" numFmtId="0">
      <sharedItems containsSemiMixedTypes="0" containsString="0" containsNumber="1" containsInteger="1" minValue="7568559550" maxValue="9865748899"/>
    </cacheField>
    <cacheField name="City" numFmtId="0">
      <sharedItems/>
    </cacheField>
    <cacheField name="Department" numFmtId="0">
      <sharedItems count="4">
        <s v="Neurology"/>
        <s v="Cardiology"/>
        <s v="Pediatrics"/>
        <s v="Dermatology"/>
      </sharedItems>
    </cacheField>
    <cacheField name="Doctor_Specialization" numFmtId="0">
      <sharedItems/>
    </cacheField>
    <cacheField name="Patient_Status" numFmtId="0">
      <sharedItems count="3">
        <s v="Under Observation"/>
        <s v="Critical"/>
        <s v="Admitted"/>
      </sharedItems>
    </cacheField>
    <cacheField name="Priority_Level" numFmtId="0">
      <sharedItems/>
    </cacheField>
    <cacheField name="Admission_Type" numFmtId="0">
      <sharedItems count="2">
        <s v="Emergency"/>
        <s v="Ambulance"/>
      </sharedItems>
    </cacheField>
    <cacheField name="Insurance_Type" numFmtId="0">
      <sharedItems/>
    </cacheField>
    <cacheField name="Bed_Type" numFmtId="0">
      <sharedItems count="4">
        <s v="Ventilator"/>
        <s v="ICU"/>
        <s v="General"/>
        <s v="Emergency"/>
      </sharedItems>
    </cacheField>
    <cacheField name="Admission_Date" numFmtId="14">
      <sharedItems containsSemiMixedTypes="0" containsNonDate="0" containsDate="1" containsString="0" minDate="2026-04-26T00:00:00" maxDate="2026-05-01T00:00:00" count="3">
        <d v="2026-04-30T00:00:00"/>
        <d v="2026-04-28T00:00:00"/>
        <d v="2026-04-26T00:00:00"/>
      </sharedItems>
    </cacheField>
    <cacheField name="Expected_Stay_Days" numFmtId="0">
      <sharedItems containsSemiMixedTypes="0" containsString="0" containsNumber="1" containsInteger="1" minValue="3" maxValue="7"/>
    </cacheField>
    <cacheField name="Emergency_Case" numFmtId="0">
      <sharedItems/>
    </cacheField>
    <cacheField name="ICU_Required" numFmtId="0">
      <sharedItems/>
    </cacheField>
    <cacheField name="Allocated_Bed_ID" numFmtId="0">
      <sharedItems/>
    </cacheField>
    <cacheField name="Allocation_Status" numFmtId="0">
      <sharedItems/>
    </cacheField>
    <cacheField name="Assigned_Doctor_ID" numFmtId="0">
      <sharedItems/>
    </cacheField>
    <cacheField name="Assigned_Doctor_Name" numFmtId="0">
      <sharedItems containsBlank="1" count="5">
        <s v="Dr. Raj Malhotra"/>
        <s v="Dr. Neha Verma"/>
        <s v="Dr. Arjun Mehta"/>
        <s v="Dr. Vivek Rao"/>
        <m u="1"/>
      </sharedItems>
    </cacheField>
  </cacheFields>
  <extLst>
    <ext xmlns:x14="http://schemas.microsoft.com/office/spreadsheetml/2009/9/main" uri="{725AE2AE-9491-48be-B2B4-4EB974FC3084}">
      <x14:pivotCacheDefinition pivotCacheId="6362160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DOC001"/>
    <x v="0"/>
    <x v="0"/>
    <s v="General Physician"/>
    <n v="5"/>
    <n v="0"/>
    <x v="0"/>
    <n v="10"/>
    <n v="500"/>
  </r>
  <r>
    <s v="DOC002"/>
    <x v="1"/>
    <x v="1"/>
    <s v="Cardiologist"/>
    <n v="4"/>
    <n v="1"/>
    <x v="0"/>
    <n v="12"/>
    <n v="1000"/>
  </r>
  <r>
    <s v="DOC003"/>
    <x v="2"/>
    <x v="2"/>
    <s v="Neurologist"/>
    <n v="3"/>
    <n v="2"/>
    <x v="0"/>
    <n v="15"/>
    <n v="1200"/>
  </r>
  <r>
    <s v="DOC004"/>
    <x v="3"/>
    <x v="3"/>
    <s v="Orthopedic"/>
    <n v="5"/>
    <n v="0"/>
    <x v="0"/>
    <n v="8"/>
    <n v="700"/>
  </r>
  <r>
    <s v="DOC005"/>
    <x v="4"/>
    <x v="4"/>
    <s v="Pediatrician"/>
    <n v="2"/>
    <n v="2"/>
    <x v="1"/>
    <n v="20"/>
    <n v="2000"/>
  </r>
  <r>
    <s v="DOC006"/>
    <x v="5"/>
    <x v="5"/>
    <s v="Emergency Specialist"/>
    <n v="6"/>
    <n v="0"/>
    <x v="0"/>
    <n v="7"/>
    <n v="600"/>
  </r>
  <r>
    <s v="DOC007"/>
    <x v="6"/>
    <x v="6"/>
    <s v="Dermatologist"/>
    <n v="4"/>
    <n v="1"/>
    <x v="0"/>
    <n v="11"/>
    <n v="900"/>
  </r>
  <r>
    <s v="DOC008"/>
    <x v="7"/>
    <x v="7"/>
    <s v="Urologist"/>
    <n v="5"/>
    <n v="0"/>
    <x v="0"/>
    <n v="6"/>
    <n v="650"/>
  </r>
  <r>
    <s v="DOC009"/>
    <x v="8"/>
    <x v="8"/>
    <s v="Oncologist"/>
    <n v="3"/>
    <n v="0"/>
    <x v="0"/>
    <n v="14"/>
    <n v="1500"/>
  </r>
  <r>
    <s v="DOC010"/>
    <x v="9"/>
    <x v="9"/>
    <s v="Gynecologist"/>
    <n v="5"/>
    <n v="0"/>
    <x v="0"/>
    <n v="9"/>
    <n v="8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BED001"/>
    <x v="0"/>
    <x v="0"/>
    <n v="1"/>
    <s v="R101"/>
    <x v="0"/>
    <m/>
    <m/>
    <m/>
    <m/>
  </r>
  <r>
    <s v="BED002"/>
    <x v="1"/>
    <x v="1"/>
    <n v="2"/>
    <s v="R201"/>
    <x v="1"/>
    <s v="P002"/>
    <d v="2026-04-30T00:00:00"/>
    <d v="2026-05-04T00:00:00"/>
    <m/>
  </r>
  <r>
    <s v="BED003"/>
    <x v="2"/>
    <x v="1"/>
    <n v="3"/>
    <s v="R301"/>
    <x v="1"/>
    <s v="P004"/>
    <d v="2026-05-01T00:00:00"/>
    <d v="2026-05-08T00:00:00"/>
    <m/>
  </r>
  <r>
    <s v="BED004"/>
    <x v="3"/>
    <x v="2"/>
    <n v="1"/>
    <s v="R102"/>
    <x v="0"/>
    <m/>
    <m/>
    <m/>
    <m/>
  </r>
  <r>
    <s v="BED005"/>
    <x v="4"/>
    <x v="3"/>
    <n v="2"/>
    <s v="R202"/>
    <x v="1"/>
    <s v="P001"/>
    <d v="2026-04-30T00:00:00"/>
    <d v="2026-05-06T00:00:00"/>
    <m/>
  </r>
  <r>
    <s v="BED006"/>
    <x v="5"/>
    <x v="3"/>
    <n v="3"/>
    <s v="R302"/>
    <x v="1"/>
    <s v="P005"/>
    <d v="2026-05-01T00:00:00"/>
    <d v="2026-05-07T00:00:00"/>
    <m/>
  </r>
  <r>
    <s v="BED007"/>
    <x v="6"/>
    <x v="0"/>
    <n v="1"/>
    <s v="R103"/>
    <x v="2"/>
    <m/>
    <m/>
    <m/>
    <m/>
  </r>
  <r>
    <s v="BED008"/>
    <x v="7"/>
    <x v="1"/>
    <n v="2"/>
    <s v="R203"/>
    <x v="3"/>
    <m/>
    <m/>
    <m/>
    <m/>
  </r>
  <r>
    <s v="BED009"/>
    <x v="8"/>
    <x v="0"/>
    <n v="3"/>
    <s v="R303"/>
    <x v="0"/>
    <m/>
    <m/>
    <m/>
    <m/>
  </r>
  <r>
    <s v="BED010"/>
    <x v="3"/>
    <x v="4"/>
    <n v="1"/>
    <s v="R104"/>
    <x v="0"/>
    <m/>
    <m/>
    <m/>
    <m/>
  </r>
  <r>
    <s v="BED011"/>
    <x v="9"/>
    <x v="5"/>
    <n v="2"/>
    <s v="R204"/>
    <x v="0"/>
    <m/>
    <m/>
    <m/>
    <m/>
  </r>
  <r>
    <s v="BED012"/>
    <x v="10"/>
    <x v="3"/>
    <n v="3"/>
    <s v="R304"/>
    <x v="2"/>
    <m/>
    <m/>
    <m/>
    <m/>
  </r>
  <r>
    <s v="BED013"/>
    <x v="10"/>
    <x v="0"/>
    <n v="1"/>
    <s v="R105"/>
    <x v="0"/>
    <m/>
    <m/>
    <m/>
    <m/>
  </r>
  <r>
    <s v="BED014"/>
    <x v="2"/>
    <x v="0"/>
    <n v="2"/>
    <s v="R205"/>
    <x v="1"/>
    <s v="P003"/>
    <d v="2026-05-01T00:00:00"/>
    <d v="2026-05-04T00:00:00"/>
    <m/>
  </r>
  <r>
    <s v="BED015"/>
    <x v="11"/>
    <x v="2"/>
    <n v="3"/>
    <s v="R305"/>
    <x v="3"/>
    <m/>
    <m/>
    <m/>
    <m/>
  </r>
  <r>
    <s v="BED016"/>
    <x v="0"/>
    <x v="4"/>
    <n v="1"/>
    <s v="R106"/>
    <x v="0"/>
    <m/>
    <m/>
    <m/>
    <m/>
  </r>
  <r>
    <s v="BED017"/>
    <x v="1"/>
    <x v="5"/>
    <n v="2"/>
    <s v="R206"/>
    <x v="0"/>
    <m/>
    <m/>
    <m/>
    <m/>
  </r>
  <r>
    <s v="BED018"/>
    <x v="4"/>
    <x v="5"/>
    <n v="3"/>
    <s v="R306"/>
    <x v="1"/>
    <s v="P006"/>
    <d v="2026-05-02T00:00:00"/>
    <d v="2026-05-09T00:00:00"/>
    <m/>
  </r>
  <r>
    <s v="BED019"/>
    <x v="12"/>
    <x v="0"/>
    <n v="1"/>
    <s v="R107"/>
    <x v="0"/>
    <m/>
    <m/>
    <m/>
    <m/>
  </r>
  <r>
    <s v="BED020"/>
    <x v="2"/>
    <x v="1"/>
    <n v="2"/>
    <s v="R207"/>
    <x v="0"/>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s v="P001"/>
    <x v="0"/>
    <x v="0"/>
    <d v="1988-04-16T00:00:00"/>
    <n v="38"/>
    <s v="B+"/>
    <n v="7568559550"/>
    <s v="Mumbai"/>
    <x v="0"/>
    <s v="Neurologist"/>
    <x v="0"/>
    <s v="Medium"/>
    <x v="0"/>
    <s v="Medicare"/>
    <x v="0"/>
    <x v="0"/>
    <n v="6"/>
    <s v="Yes"/>
    <s v="Yes"/>
    <s v="BED005"/>
    <s v="Allocated"/>
    <s v="DOC003"/>
    <x v="0"/>
  </r>
  <r>
    <s v="P002"/>
    <x v="1"/>
    <x v="0"/>
    <d v="1995-06-15T00:00:00"/>
    <n v="30"/>
    <s v="B+"/>
    <n v="9685741234"/>
    <s v="Chennai"/>
    <x v="1"/>
    <s v="Cardiologist"/>
    <x v="1"/>
    <s v="Medium"/>
    <x v="0"/>
    <s v="Medicare"/>
    <x v="1"/>
    <x v="0"/>
    <n v="4"/>
    <s v="Yes"/>
    <s v="Yes"/>
    <s v="BED002"/>
    <s v="Allocated"/>
    <s v="DOC002"/>
    <x v="1"/>
  </r>
  <r>
    <s v="P003"/>
    <x v="2"/>
    <x v="0"/>
    <d v="2009-07-25T00:00:00"/>
    <n v="16"/>
    <s v="B+"/>
    <n v="8956237845"/>
    <s v="Bangalore"/>
    <x v="2"/>
    <s v="Pediatrician"/>
    <x v="2"/>
    <s v="Low"/>
    <x v="0"/>
    <s v="Cash"/>
    <x v="2"/>
    <x v="0"/>
    <n v="3"/>
    <s v="Yes"/>
    <s v="Yes"/>
    <s v="BED014"/>
    <s v="Allocated"/>
    <s v="DOC005"/>
    <x v="2"/>
  </r>
  <r>
    <s v="P004"/>
    <x v="3"/>
    <x v="1"/>
    <d v="2013-09-29T00:00:00"/>
    <n v="12"/>
    <s v="B+"/>
    <n v="9685968695"/>
    <s v="Surat"/>
    <x v="2"/>
    <s v="Pediatrician"/>
    <x v="2"/>
    <s v="Medium"/>
    <x v="0"/>
    <s v="Government Scheme"/>
    <x v="1"/>
    <x v="0"/>
    <n v="7"/>
    <s v="Yes"/>
    <s v="Yes"/>
    <s v="BED003"/>
    <s v="Allocated"/>
    <s v="DOC005"/>
    <x v="2"/>
  </r>
  <r>
    <s v="P005"/>
    <x v="4"/>
    <x v="0"/>
    <d v="1978-11-15T00:00:00"/>
    <n v="47"/>
    <s v="O+"/>
    <n v="9865748899"/>
    <s v="Mumbai"/>
    <x v="3"/>
    <s v="Dermatologist"/>
    <x v="2"/>
    <s v="High"/>
    <x v="0"/>
    <s v="Corporate Insurance"/>
    <x v="0"/>
    <x v="1"/>
    <n v="6"/>
    <s v="Yes"/>
    <s v="Yes"/>
    <s v="BED006"/>
    <s v="Allocated"/>
    <s v="DOC007"/>
    <x v="3"/>
  </r>
  <r>
    <s v="P006"/>
    <x v="5"/>
    <x v="0"/>
    <d v="1991-05-15T00:00:00"/>
    <n v="34"/>
    <s v="AB+"/>
    <n v="9632587415"/>
    <s v="Bhopal"/>
    <x v="0"/>
    <s v="Neurologist"/>
    <x v="1"/>
    <s v="High"/>
    <x v="1"/>
    <s v="Medicare"/>
    <x v="3"/>
    <x v="2"/>
    <n v="7"/>
    <s v="Yes"/>
    <s v="Yes"/>
    <s v="BED018"/>
    <s v="Allocated"/>
    <s v="DOC00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A6C314-2D1D-407C-8E2B-7AF5EE0508B9}" name="Bed Occupancy Status"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2:H7" firstHeaderRow="1" firstDataRow="1" firstDataCol="1"/>
  <pivotFields count="10">
    <pivotField dataField="1" showAll="0"/>
    <pivotField showAll="0">
      <items count="14">
        <item x="1"/>
        <item x="5"/>
        <item x="7"/>
        <item x="8"/>
        <item x="10"/>
        <item x="0"/>
        <item x="3"/>
        <item x="6"/>
        <item x="4"/>
        <item x="12"/>
        <item x="2"/>
        <item x="11"/>
        <item x="9"/>
        <item t="default"/>
      </items>
    </pivotField>
    <pivotField showAll="0">
      <items count="7">
        <item x="5"/>
        <item x="0"/>
        <item x="1"/>
        <item x="4"/>
        <item x="2"/>
        <item x="3"/>
        <item t="default"/>
      </items>
    </pivotField>
    <pivotField showAll="0"/>
    <pivotField showAll="0"/>
    <pivotField axis="axisRow" showAll="0">
      <items count="5">
        <item x="0"/>
        <item x="3"/>
        <item x="1"/>
        <item x="2"/>
        <item t="default"/>
      </items>
    </pivotField>
    <pivotField showAll="0"/>
    <pivotField showAll="0"/>
    <pivotField showAll="0"/>
    <pivotField showAll="0"/>
  </pivotFields>
  <rowFields count="1">
    <field x="5"/>
  </rowFields>
  <rowItems count="5">
    <i>
      <x/>
    </i>
    <i>
      <x v="1"/>
    </i>
    <i>
      <x v="2"/>
    </i>
    <i>
      <x v="3"/>
    </i>
    <i t="grand">
      <x/>
    </i>
  </rowItems>
  <colItems count="1">
    <i/>
  </colItems>
  <dataFields count="1">
    <dataField name="Count of Bed_ID" fld="0" subtotal="count" baseField="0" baseItem="0"/>
  </dataFields>
  <chartFormats count="10">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5" count="1" selected="0">
            <x v="0"/>
          </reference>
        </references>
      </pivotArea>
    </chartFormat>
    <chartFormat chart="4" format="8">
      <pivotArea type="data" outline="0" fieldPosition="0">
        <references count="2">
          <reference field="4294967294" count="1" selected="0">
            <x v="0"/>
          </reference>
          <reference field="5" count="1" selected="0">
            <x v="1"/>
          </reference>
        </references>
      </pivotArea>
    </chartFormat>
    <chartFormat chart="4" format="9">
      <pivotArea type="data" outline="0" fieldPosition="0">
        <references count="2">
          <reference field="4294967294" count="1" selected="0">
            <x v="0"/>
          </reference>
          <reference field="5" count="1" selected="0">
            <x v="2"/>
          </reference>
        </references>
      </pivotArea>
    </chartFormat>
    <chartFormat chart="4" format="10">
      <pivotArea type="data" outline="0" fieldPosition="0">
        <references count="2">
          <reference field="4294967294" count="1" selected="0">
            <x v="0"/>
          </reference>
          <reference field="5" count="1" selected="0">
            <x v="3"/>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813872-53E4-498A-AD7C-E2EE978E83F8}" name="Department-wise Patients" cacheId="2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2:B7" firstHeaderRow="1" firstDataRow="1" firstDataCol="1"/>
  <pivotFields count="23">
    <pivotField dataField="1" showAll="0"/>
    <pivotField showAll="0">
      <items count="8">
        <item m="1" x="6"/>
        <item x="3"/>
        <item x="2"/>
        <item x="1"/>
        <item x="4"/>
        <item x="5"/>
        <item x="0"/>
        <item t="default"/>
      </items>
    </pivotField>
    <pivotField showAll="0">
      <items count="3">
        <item x="1"/>
        <item x="0"/>
        <item t="default"/>
      </items>
    </pivotField>
    <pivotField numFmtId="14" showAll="0"/>
    <pivotField showAll="0"/>
    <pivotField showAll="0"/>
    <pivotField showAll="0"/>
    <pivotField showAll="0"/>
    <pivotField axis="axisRow" showAll="0">
      <items count="5">
        <item x="0"/>
        <item x="1"/>
        <item x="2"/>
        <item x="3"/>
        <item t="default"/>
      </items>
    </pivotField>
    <pivotField showAll="0"/>
    <pivotField showAll="0">
      <items count="4">
        <item x="2"/>
        <item x="1"/>
        <item x="0"/>
        <item t="default"/>
      </items>
    </pivotField>
    <pivotField showAll="0"/>
    <pivotField showAll="0">
      <items count="3">
        <item x="1"/>
        <item x="0"/>
        <item t="default"/>
      </items>
    </pivotField>
    <pivotField showAll="0"/>
    <pivotField showAll="0">
      <items count="5">
        <item x="3"/>
        <item x="2"/>
        <item x="1"/>
        <item x="0"/>
        <item t="default"/>
      </items>
    </pivotField>
    <pivotField numFmtId="14" showAll="0">
      <items count="4">
        <item x="2"/>
        <item x="1"/>
        <item x="0"/>
        <item t="default"/>
      </items>
    </pivotField>
    <pivotField showAll="0"/>
    <pivotField showAll="0"/>
    <pivotField showAll="0"/>
    <pivotField showAll="0"/>
    <pivotField showAll="0"/>
    <pivotField showAll="0"/>
    <pivotField showAll="0">
      <items count="6">
        <item x="2"/>
        <item x="1"/>
        <item x="0"/>
        <item x="3"/>
        <item m="1" x="4"/>
        <item t="default"/>
      </items>
    </pivotField>
  </pivotFields>
  <rowFields count="1">
    <field x="8"/>
  </rowFields>
  <rowItems count="5">
    <i>
      <x/>
    </i>
    <i>
      <x v="1"/>
    </i>
    <i>
      <x v="2"/>
    </i>
    <i>
      <x v="3"/>
    </i>
    <i t="grand">
      <x/>
    </i>
  </rowItems>
  <colItems count="1">
    <i/>
  </colItems>
  <dataFields count="1">
    <dataField name="Count of Patient_ID"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dateBetween" evalOrder="-1" id="50" name="Admission_Date">
      <autoFilter ref="A1">
        <filterColumn colId="0">
          <customFilters and="1">
            <customFilter operator="greaterThanOrEqual" val="46113"/>
            <customFilter operator="lessThanOrEqual" val="461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AFE690-8763-4CEE-8687-0E2901FDA4BF}" name="Doctor Workload"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M2:N13" firstHeaderRow="1" firstDataRow="1" firstDataCol="1"/>
  <pivotFields count="9">
    <pivotField showAll="0"/>
    <pivotField axis="axisRow" showAll="0">
      <items count="11">
        <item x="0"/>
        <item x="4"/>
        <item x="8"/>
        <item x="1"/>
        <item x="3"/>
        <item x="2"/>
        <item x="9"/>
        <item x="7"/>
        <item x="5"/>
        <item x="6"/>
        <item t="default"/>
      </items>
    </pivotField>
    <pivotField showAll="0">
      <items count="11">
        <item x="1"/>
        <item x="6"/>
        <item x="5"/>
        <item x="0"/>
        <item x="9"/>
        <item x="2"/>
        <item x="8"/>
        <item x="3"/>
        <item x="4"/>
        <item x="7"/>
        <item t="default"/>
      </items>
    </pivotField>
    <pivotField showAll="0"/>
    <pivotField showAll="0"/>
    <pivotField dataField="1" numFmtId="1" showAll="0"/>
    <pivotField showAll="0">
      <items count="3">
        <item x="0"/>
        <item x="1"/>
        <item t="default"/>
      </items>
    </pivotField>
    <pivotField showAll="0"/>
    <pivotField showAll="0"/>
  </pivotFields>
  <rowFields count="1">
    <field x="1"/>
  </rowFields>
  <rowItems count="11">
    <i>
      <x/>
    </i>
    <i>
      <x v="1"/>
    </i>
    <i>
      <x v="2"/>
    </i>
    <i>
      <x v="3"/>
    </i>
    <i>
      <x v="4"/>
    </i>
    <i>
      <x v="5"/>
    </i>
    <i>
      <x v="6"/>
    </i>
    <i>
      <x v="7"/>
    </i>
    <i>
      <x v="8"/>
    </i>
    <i>
      <x v="9"/>
    </i>
    <i t="grand">
      <x/>
    </i>
  </rowItems>
  <colItems count="1">
    <i/>
  </colItems>
  <dataFields count="1">
    <dataField name="Sum of Current_Assigned" fld="5" baseField="0" baseItem="0" numFmtId="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DE70F5-C467-45C9-A0DB-5A57BA100BF5}" name="Patient Status Distribution" cacheId="2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A2:AB6" firstHeaderRow="1" firstDataRow="1" firstDataCol="1"/>
  <pivotFields count="23">
    <pivotField dataField="1" showAll="0"/>
    <pivotField showAll="0">
      <items count="8">
        <item m="1" x="6"/>
        <item x="3"/>
        <item x="2"/>
        <item x="1"/>
        <item x="4"/>
        <item x="5"/>
        <item x="0"/>
        <item t="default"/>
      </items>
    </pivotField>
    <pivotField showAll="0">
      <items count="3">
        <item x="1"/>
        <item x="0"/>
        <item t="default"/>
      </items>
    </pivotField>
    <pivotField numFmtId="14" showAll="0"/>
    <pivotField showAll="0"/>
    <pivotField showAll="0"/>
    <pivotField showAll="0"/>
    <pivotField showAll="0"/>
    <pivotField showAll="0">
      <items count="5">
        <item x="1"/>
        <item x="3"/>
        <item x="0"/>
        <item x="2"/>
        <item t="default"/>
      </items>
    </pivotField>
    <pivotField showAll="0"/>
    <pivotField axis="axisRow" showAll="0">
      <items count="4">
        <item x="0"/>
        <item x="1"/>
        <item x="2"/>
        <item t="default"/>
      </items>
    </pivotField>
    <pivotField showAll="0"/>
    <pivotField showAll="0">
      <items count="3">
        <item x="1"/>
        <item x="0"/>
        <item t="default"/>
      </items>
    </pivotField>
    <pivotField showAll="0"/>
    <pivotField showAll="0">
      <items count="5">
        <item x="3"/>
        <item x="2"/>
        <item x="1"/>
        <item x="0"/>
        <item t="default"/>
      </items>
    </pivotField>
    <pivotField numFmtId="14" showAll="0">
      <items count="4">
        <item x="2"/>
        <item x="1"/>
        <item x="0"/>
        <item t="default"/>
      </items>
    </pivotField>
    <pivotField showAll="0"/>
    <pivotField showAll="0"/>
    <pivotField showAll="0"/>
    <pivotField showAll="0"/>
    <pivotField showAll="0"/>
    <pivotField showAll="0"/>
    <pivotField showAll="0">
      <items count="6">
        <item x="2"/>
        <item x="1"/>
        <item x="0"/>
        <item x="3"/>
        <item m="1" x="4"/>
        <item t="default"/>
      </items>
    </pivotField>
  </pivotFields>
  <rowFields count="1">
    <field x="10"/>
  </rowFields>
  <rowItems count="4">
    <i>
      <x/>
    </i>
    <i>
      <x v="1"/>
    </i>
    <i>
      <x v="2"/>
    </i>
    <i t="grand">
      <x/>
    </i>
  </rowItems>
  <colItems count="1">
    <i/>
  </colItems>
  <dataFields count="1">
    <dataField name="Count of Patient_ID" fld="0"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0" count="1" selected="0">
            <x v="0"/>
          </reference>
        </references>
      </pivotArea>
    </chartFormat>
    <chartFormat chart="4" format="6">
      <pivotArea type="data" outline="0" fieldPosition="0">
        <references count="2">
          <reference field="4294967294" count="1" selected="0">
            <x v="0"/>
          </reference>
          <reference field="10" count="1" selected="0">
            <x v="1"/>
          </reference>
        </references>
      </pivotArea>
    </chartFormat>
    <chartFormat chart="4" format="7">
      <pivotArea type="data" outline="0" fieldPosition="0">
        <references count="2">
          <reference field="4294967294" count="1" selected="0">
            <x v="0"/>
          </reference>
          <reference field="10" count="1" selected="0">
            <x v="2"/>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filters count="1">
    <filter fld="15" type="dateBetween" evalOrder="-1" id="41" name="Admission_Date">
      <autoFilter ref="A1">
        <filterColumn colId="0">
          <customFilters and="1">
            <customFilter operator="greaterThanOrEqual" val="46113"/>
            <customFilter operator="lessThanOrEqual" val="461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A464330-9C17-4075-BD85-230E5EF5AD1A}" name="Daily Admission Trend" cacheId="2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T2:U6" firstHeaderRow="1" firstDataRow="1" firstDataCol="1"/>
  <pivotFields count="23">
    <pivotField dataField="1" showAll="0"/>
    <pivotField showAll="0">
      <items count="8">
        <item m="1" x="6"/>
        <item x="3"/>
        <item x="2"/>
        <item x="1"/>
        <item x="4"/>
        <item x="5"/>
        <item x="0"/>
        <item t="default"/>
      </items>
    </pivotField>
    <pivotField showAll="0">
      <items count="3">
        <item x="1"/>
        <item x="0"/>
        <item t="default"/>
      </items>
    </pivotField>
    <pivotField numFmtId="14" showAll="0"/>
    <pivotField showAll="0"/>
    <pivotField showAll="0"/>
    <pivotField showAll="0"/>
    <pivotField showAll="0"/>
    <pivotField showAll="0">
      <items count="5">
        <item x="1"/>
        <item x="3"/>
        <item x="0"/>
        <item x="2"/>
        <item t="default"/>
      </items>
    </pivotField>
    <pivotField showAll="0"/>
    <pivotField showAll="0">
      <items count="4">
        <item x="2"/>
        <item x="1"/>
        <item x="0"/>
        <item t="default"/>
      </items>
    </pivotField>
    <pivotField showAll="0"/>
    <pivotField showAll="0">
      <items count="3">
        <item x="1"/>
        <item x="0"/>
        <item t="default"/>
      </items>
    </pivotField>
    <pivotField showAll="0"/>
    <pivotField showAll="0">
      <items count="5">
        <item x="3"/>
        <item x="2"/>
        <item x="1"/>
        <item x="0"/>
        <item t="default"/>
      </items>
    </pivotField>
    <pivotField axis="axisRow" numFmtId="14" showAll="0">
      <items count="4">
        <item x="0"/>
        <item x="1"/>
        <item x="2"/>
        <item t="default"/>
      </items>
    </pivotField>
    <pivotField showAll="0"/>
    <pivotField showAll="0"/>
    <pivotField showAll="0"/>
    <pivotField showAll="0"/>
    <pivotField showAll="0"/>
    <pivotField showAll="0"/>
    <pivotField showAll="0">
      <items count="6">
        <item x="2"/>
        <item x="1"/>
        <item x="0"/>
        <item x="3"/>
        <item m="1" x="4"/>
        <item t="default"/>
      </items>
    </pivotField>
  </pivotFields>
  <rowFields count="1">
    <field x="15"/>
  </rowFields>
  <rowItems count="4">
    <i>
      <x/>
    </i>
    <i>
      <x v="1"/>
    </i>
    <i>
      <x v="2"/>
    </i>
    <i t="grand">
      <x/>
    </i>
  </rowItems>
  <colItems count="1">
    <i/>
  </colItems>
  <dataFields count="1">
    <dataField name="Count of Patient_ID" fld="0" subtotal="count" baseField="0" baseItem="0"/>
  </dataField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dateBetween" evalOrder="-1" id="30" name="Admission_Date">
      <autoFilter ref="A1">
        <filterColumn colId="0">
          <customFilters and="1">
            <customFilter operator="greaterThanOrEqual" val="46113"/>
            <customFilter operator="lessThanOrEqual" val="461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ient_Name" xr10:uid="{00230F0F-15A9-4E06-8381-F8C1A3B2B1A4}" sourceName="Patient_Name">
  <pivotTables>
    <pivotTable tabId="9" name="Department-wise Patients"/>
    <pivotTable tabId="9" name="Daily Admission Trend"/>
    <pivotTable tabId="9" name="Patient Status Distribution"/>
  </pivotTables>
  <data>
    <tabular pivotCacheId="636216073">
      <items count="7">
        <i x="3" s="1"/>
        <i x="2" s="1"/>
        <i x="1" s="1"/>
        <i x="4" s="1"/>
        <i x="5" s="1"/>
        <i x="0"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7FCA0FBA-92DF-43E6-8C52-316F43F363A4}" sourceName="Gender">
  <pivotTables>
    <pivotTable tabId="9" name="Department-wise Patients"/>
    <pivotTable tabId="9" name="Daily Admission Trend"/>
    <pivotTable tabId="9" name="Patient Status Distribution"/>
  </pivotTables>
  <data>
    <tabular pivotCacheId="636216073">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A4B8AAE4-87F2-49F4-851D-359FBFF53B52}" sourceName="Department">
  <pivotTables>
    <pivotTable tabId="9" name="Department-wise Patients"/>
    <pivotTable tabId="9" name="Daily Admission Trend"/>
    <pivotTable tabId="9" name="Patient Status Distribution"/>
  </pivotTables>
  <data>
    <tabular pivotCacheId="636216073">
      <items count="4">
        <i x="1" s="1"/>
        <i x="3"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ient_Status" xr10:uid="{C5F6979C-F375-4C91-8CF4-A07B32661C98}" sourceName="Patient_Status">
  <pivotTables>
    <pivotTable tabId="9" name="Department-wise Patients"/>
    <pivotTable tabId="9" name="Daily Admission Trend"/>
    <pivotTable tabId="9" name="Patient Status Distribution"/>
  </pivotTables>
  <data>
    <tabular pivotCacheId="636216073">
      <items count="3">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mission_Type" xr10:uid="{434831E3-C595-43E5-AA64-7D51AF3D6249}" sourceName="Admission_Type">
  <pivotTables>
    <pivotTable tabId="9" name="Department-wise Patients"/>
    <pivotTable tabId="9" name="Daily Admission Trend"/>
    <pivotTable tabId="9" name="Patient Status Distribution"/>
  </pivotTables>
  <data>
    <tabular pivotCacheId="636216073">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d_Type" xr10:uid="{98677785-EE82-41C1-9195-BD540D0EB15C}" sourceName="Bed_Type">
  <pivotTables>
    <pivotTable tabId="9" name="Department-wise Patients"/>
    <pivotTable tabId="9" name="Daily Admission Trend"/>
    <pivotTable tabId="9" name="Patient Status Distribution"/>
  </pivotTables>
  <data>
    <tabular pivotCacheId="636216073">
      <items count="4">
        <i x="3" s="1"/>
        <i x="2" s="1"/>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Doctor_Name" xr10:uid="{6C826B75-7357-45D9-AB57-A3A30BA437D6}" sourceName="Assigned_Doctor_Name">
  <pivotTables>
    <pivotTable tabId="9" name="Department-wise Patients"/>
    <pivotTable tabId="9" name="Daily Admission Trend"/>
    <pivotTable tabId="9" name="Patient Status Distribution"/>
  </pivotTables>
  <data>
    <tabular pivotCacheId="636216073">
      <items count="5">
        <i x="2" s="1"/>
        <i x="1" s="1"/>
        <i x="0" s="1"/>
        <i x="3"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2409DCF5-2EAB-471D-A395-4A5BBD9F0DDC}" sourceName="Department">
  <pivotTables>
    <pivotTable tabId="9" name="Bed Occupancy Status"/>
  </pivotTables>
  <data>
    <tabular pivotCacheId="203887733">
      <items count="13">
        <i x="1" s="1"/>
        <i x="5" s="1"/>
        <i x="7" s="1"/>
        <i x="8" s="1"/>
        <i x="10" s="1"/>
        <i x="0" s="1"/>
        <i x="3" s="1"/>
        <i x="6" s="1"/>
        <i x="4" s="1"/>
        <i x="12" s="1"/>
        <i x="2" s="1"/>
        <i x="11" s="1"/>
        <i x="9"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d_Type1" xr10:uid="{2D0CDFB7-2E6B-4BAE-8566-5A266EE3A17D}" sourceName="Bed_Type">
  <pivotTables>
    <pivotTable tabId="9" name="Bed Occupancy Status"/>
  </pivotTables>
  <data>
    <tabular pivotCacheId="203887733">
      <items count="6">
        <i x="5" s="1"/>
        <i x="0" s="1"/>
        <i x="1" s="1"/>
        <i x="4" s="1"/>
        <i x="2" s="1"/>
        <i x="3"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d_Status" xr10:uid="{0F26B842-EC03-47FE-9E71-4AC2C079AD33}" sourceName="Bed_Status">
  <pivotTables>
    <pivotTable tabId="9" name="Bed Occupancy Status"/>
  </pivotTables>
  <data>
    <tabular pivotCacheId="203887733">
      <items count="4">
        <i x="0" s="1"/>
        <i x="3" s="1"/>
        <i x="1" s="1"/>
        <i x="2"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ctor_Name" xr10:uid="{6FECEEE8-6333-4852-A041-B3366C1F3B0D}" sourceName="Doctor_Name">
  <pivotTables>
    <pivotTable tabId="9" name="Doctor Workload"/>
  </pivotTables>
  <data>
    <tabular pivotCacheId="1818491314">
      <items count="10">
        <i x="0" s="1"/>
        <i x="4" s="1"/>
        <i x="8" s="1"/>
        <i x="1" s="1"/>
        <i x="3" s="1"/>
        <i x="2" s="1"/>
        <i x="9" s="1"/>
        <i x="7" s="1"/>
        <i x="5" s="1"/>
        <i x="6"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2" xr10:uid="{F89579FA-EC08-4136-B414-0AF23B52EA04}" sourceName="Department">
  <pivotTables>
    <pivotTable tabId="9" name="Doctor Workload"/>
  </pivotTables>
  <data>
    <tabular pivotCacheId="1818491314">
      <items count="10">
        <i x="1" s="1"/>
        <i x="6" s="1"/>
        <i x="5" s="1"/>
        <i x="0" s="1"/>
        <i x="9" s="1"/>
        <i x="2" s="1"/>
        <i x="8" s="1"/>
        <i x="3" s="1"/>
        <i x="4" s="1"/>
        <i x="7"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ility_Status" xr10:uid="{A11565E2-BCD8-412A-8B80-1514BF713BF8}" sourceName="Availability_Status">
  <pivotTables>
    <pivotTable tabId="9" name="Doctor Workload"/>
  </pivotTables>
  <data>
    <tabular pivotCacheId="181849131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tient_Name 1" xr10:uid="{0E0DA613-4F2E-4432-9A23-668C1E3E7213}" cache="Slicer_Patient_Name" caption="Patient_Name" rowHeight="241300"/>
  <slicer name="Gender 1" xr10:uid="{23B7902C-FEBE-4462-92A3-B2BB23A0AD31}" cache="Slicer_Gender" caption="Gender" rowHeight="241300"/>
  <slicer name="Department 1" xr10:uid="{E1B6ED2E-96FB-405D-9410-18772DF2960D}" cache="Slicer_Department" caption="Department" rowHeight="241300"/>
  <slicer name="Patient_Status 1" xr10:uid="{CF103FF9-B290-4043-B1DF-3D524C46EF5E}" cache="Slicer_Patient_Status" caption="Patient_Status" rowHeight="241300"/>
  <slicer name="Admission_Type 1" xr10:uid="{E1F6E575-5A93-4ACD-B294-81A111650198}" cache="Slicer_Admission_Type" caption="Admission_Type" rowHeight="241300"/>
  <slicer name="Bed_Type 1" xr10:uid="{12C98606-3597-42DF-BD94-767D74A838C1}" cache="Slicer_Bed_Type" caption="Bed_Type" rowHeight="241300"/>
  <slicer name="Assigned_Doctor_Name 1" xr10:uid="{8B7997AD-451D-41E7-BCA7-1359B1CFB7A4}" cache="Slicer_Assigned_Doctor_Name" caption="Assigned_Doctor_Name" rowHeight="241300"/>
  <slicer name="Department" xr10:uid="{52073BD0-9292-496D-84B8-0FE4B4AD697F}" cache="Slicer_Department1" caption="Department" rowHeight="241300"/>
  <slicer name="Bed_Type" xr10:uid="{EA86103D-D414-47BF-9045-153289D3F448}" cache="Slicer_Bed_Type1" caption="Bed_Type" rowHeight="241300"/>
  <slicer name="Bed_Status" xr10:uid="{0CD2F752-1031-41BE-87AD-2887846E6BB0}" cache="Slicer_Bed_Status" caption="Bed_Status" rowHeight="241300"/>
  <slicer name="Doctor_Name" xr10:uid="{067B4A21-BA26-4AD9-962E-8BD0BC607F2D}" cache="Slicer_Doctor_Name" caption="Doctor_Name" columnCount="4" rowHeight="241300"/>
  <slicer name="Department 2" xr10:uid="{C75C3006-D2F3-45C5-A7CA-B7CA2863CA4E}" cache="Slicer_Department2" caption="Department" columnCount="4" rowHeight="241300"/>
  <slicer name="Availability_Status" xr10:uid="{B1217B88-E732-4AAA-B015-7387BE44C91D}" cache="Slicer_Availability_Status" caption="Availability_Status"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FB5213-A761-4637-8073-EE44EEA31EE7}" name="tbl_Blood" displayName="tbl_Blood" ref="AB1:AC9" totalsRowShown="0" dataDxfId="64">
  <autoFilter ref="AB1:AC9" xr:uid="{2CFB5213-A761-4637-8073-EE44EEA31EE7}"/>
  <tableColumns count="2">
    <tableColumn id="1" xr3:uid="{9D40A1F6-C146-4D7F-AEF9-97237358BA35}" name="Blood_ID" dataDxfId="63"/>
    <tableColumn id="2" xr3:uid="{79A08A47-5BA2-4F7F-8664-8C757CBD0C0B}" name="Blood_Group"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A7F4E6-52E9-48CF-A5B1-F7D8E8CF6EFB}" name="tbl_Gender" displayName="tbl_Gender" ref="Y1:Z4" totalsRowShown="0" dataDxfId="61">
  <autoFilter ref="Y1:Z4" xr:uid="{AFA7F4E6-52E9-48CF-A5B1-F7D8E8CF6EFB}"/>
  <tableColumns count="2">
    <tableColumn id="1" xr3:uid="{AE308219-9838-4C06-B944-39DC2363A30C}" name="Gender_ID" dataDxfId="60"/>
    <tableColumn id="2" xr3:uid="{DD7BA3CE-B2BA-4444-8777-BC1022EA3267}" name="Gender" dataDxfId="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96CF0B-9501-4D70-840A-904035CF9993}" name="tbl_Admission" displayName="tbl_Admission" ref="V1:W5" totalsRowShown="0" dataDxfId="58">
  <autoFilter ref="V1:W5" xr:uid="{4496CF0B-9501-4D70-840A-904035CF9993}"/>
  <tableColumns count="2">
    <tableColumn id="1" xr3:uid="{79F03C1F-D51E-4FB9-B3F4-CDF679AA0D16}" name="Admission_ID" dataDxfId="57"/>
    <tableColumn id="2" xr3:uid="{E3A13A21-957A-4E6A-AB62-BDF46E7DADAD}" name="Admission_Typ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CBFCC2-46E6-456C-B0D3-4895DE18A405}" name="tbl_Priority" displayName="tbl_Priority" ref="S1:T5" totalsRowShown="0" dataDxfId="55">
  <autoFilter ref="S1:T5" xr:uid="{22CBFCC2-46E6-456C-B0D3-4895DE18A405}"/>
  <tableColumns count="2">
    <tableColumn id="1" xr3:uid="{7CECB96A-00D0-40CD-9D78-FA5E24921677}" name="Priority_ID" dataDxfId="54"/>
    <tableColumn id="2" xr3:uid="{D5D17474-59D3-44B6-AB72-E2B69EFD5902}" name="Priority_Level"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E9FE47-91F7-49EC-91B8-9EBEA8A757CC}" name="tbl_Insurance" displayName="tbl_Insurance" ref="P1:Q9" totalsRowShown="0" dataDxfId="52">
  <autoFilter ref="P1:Q9" xr:uid="{CBE9FE47-91F7-49EC-91B8-9EBEA8A757CC}"/>
  <tableColumns count="2">
    <tableColumn id="1" xr3:uid="{7DF37DF2-A9F4-4A41-9EAD-94FD51E0116D}" name="Insurance_ID" dataDxfId="51"/>
    <tableColumn id="2" xr3:uid="{2C6ABAFB-CC16-4A5A-A6E7-FF958A7E1719}" name="Insurance_Type"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0B680C9-90DC-4781-B5BF-8B4D43280582}" name="tbl_Cities" displayName="tbl_Cities" ref="M1:N21" totalsRowShown="0" dataDxfId="49">
  <autoFilter ref="M1:N21" xr:uid="{50B680C9-90DC-4781-B5BF-8B4D43280582}"/>
  <tableColumns count="2">
    <tableColumn id="1" xr3:uid="{E901E406-6C46-43C7-A1AC-47B8F0E79B1E}" name="City_ID" dataDxfId="48"/>
    <tableColumn id="2" xr3:uid="{508FEB73-27E8-4D12-9792-0B46A610D2E1}" name="City" dataDxfId="4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C27FA1-9092-4C84-9133-BC129ED73090}" name="tbl_Specialization" displayName="tbl_Specialization" ref="J1:K16" totalsRowShown="0" dataDxfId="46">
  <autoFilter ref="J1:K16" xr:uid="{2CC27FA1-9092-4C84-9133-BC129ED73090}"/>
  <tableColumns count="2">
    <tableColumn id="1" xr3:uid="{F0AAC3FC-9650-4FFF-BB5D-8997347E170C}" name="Spec_ID" dataDxfId="45"/>
    <tableColumn id="2" xr3:uid="{B22682F6-A361-4B8A-9DA0-F38BAE53602E}" name="Specialization" dataDxfId="4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58BF10A-5E5B-4BE6-A4C1-6D0699F0E1F1}" name="tbl_Status" displayName="tbl_Status" ref="G1:H7" totalsRowShown="0" dataDxfId="43">
  <autoFilter ref="G1:H7" xr:uid="{658BF10A-5E5B-4BE6-A4C1-6D0699F0E1F1}"/>
  <tableColumns count="2">
    <tableColumn id="1" xr3:uid="{E2AB8A1C-78D5-4576-A1DF-6EAAE09AAC1D}" name="Status_ID" dataDxfId="42"/>
    <tableColumn id="2" xr3:uid="{F963537A-68E1-4577-9794-54103A441AF4}" name="Patient_Status" dataDxfId="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1D01FFE-32A9-4699-BCD5-67B5CB9BC2C5}" name="tbl_BedTypes" displayName="tbl_BedTypes" ref="D1:E7" totalsRowShown="0" dataDxfId="40">
  <autoFilter ref="D1:E7" xr:uid="{01D01FFE-32A9-4699-BCD5-67B5CB9BC2C5}"/>
  <tableColumns count="2">
    <tableColumn id="1" xr3:uid="{4E704637-6225-44EE-8F7C-7762BB8E757F}" name="Bed_Type_ID" dataDxfId="39"/>
    <tableColumn id="2" xr3:uid="{B5DB41AF-2334-488F-B7D3-1941EC8A9844}" name="Bed_Type" dataDxfId="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CCD0F80-1485-4B80-890C-433762EE0E2D}" name="tbl_Departments" displayName="tbl_Departments" ref="A1:B16" totalsRowShown="0" dataDxfId="37">
  <autoFilter ref="A1:B16" xr:uid="{8CCD0F80-1485-4B80-890C-433762EE0E2D}"/>
  <tableColumns count="2">
    <tableColumn id="1" xr3:uid="{5619B4F7-86A1-4563-B584-B9865F4372C4}" name="Department_ID" dataDxfId="36"/>
    <tableColumn id="2" xr3:uid="{308F99A4-A195-4F37-B7B9-FB8DF26E37C5}" name="Department_Name" dataDxfId="3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29FC4EA-EE23-4B3C-AEC1-8E34A552FC40}" name="Table14" displayName="Table14" ref="A1:I11" totalsRowShown="0">
  <autoFilter ref="A1:I11" xr:uid="{C29FC4EA-EE23-4B3C-AEC1-8E34A552FC40}"/>
  <tableColumns count="9">
    <tableColumn id="1" xr3:uid="{B0EAF64C-44E4-455B-B8CD-5C97C6547CF5}" name="Doctor_ID"/>
    <tableColumn id="2" xr3:uid="{8D623300-59CD-438F-BF81-802422FAE820}" name="Doctor_Name"/>
    <tableColumn id="3" xr3:uid="{1E405F83-14C5-4E80-9194-BF3DAEBB4999}" name="Department"/>
    <tableColumn id="4" xr3:uid="{55C9AAD0-E8A0-4CC9-A4B3-C0DFD2705D0B}" name="Specialization"/>
    <tableColumn id="5" xr3:uid="{5AE95763-4D08-4635-BFE6-8C043C1E73ED}" name="Max_Patient_Capacity"/>
    <tableColumn id="6" xr3:uid="{DB61D2DD-FC81-4C77-B38A-4FE8BB427C04}" name="Current_Assigned" dataDxfId="34">
      <calculatedColumnFormula>VALUE(COUNTIF(Patient_Data!V:V,A2))</calculatedColumnFormula>
    </tableColumn>
    <tableColumn id="7" xr3:uid="{A94F53EE-C8A2-45A9-9812-70DC6792C194}" name="Availability_Status" dataDxfId="33">
      <calculatedColumnFormula>IF(F2&gt;=E2,"Busy","Available")</calculatedColumnFormula>
    </tableColumn>
    <tableColumn id="8" xr3:uid="{0C5123A5-92C6-48CC-91A6-7B3917390B21}" name="Experience_Years"/>
    <tableColumn id="9" xr3:uid="{C3AE73B7-D98A-4E4E-A6CE-F34A55D6FD00}" name="Consultation_Fe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8D93471-41E6-40BE-8EEC-6957F980CB66}" name="Table12" displayName="Table12" ref="A1:J21" totalsRowShown="0">
  <autoFilter ref="A1:J21" xr:uid="{F8D93471-41E6-40BE-8EEC-6957F980CB66}"/>
  <tableColumns count="10">
    <tableColumn id="1" xr3:uid="{F385A4ED-F6D3-47E2-826A-A8B64EDF6E31}" name="Bed_ID"/>
    <tableColumn id="2" xr3:uid="{5D99A148-9048-4401-B8B3-122E3F6D7C9C}" name="Department"/>
    <tableColumn id="3" xr3:uid="{AF937FD5-2CDB-4F25-B26B-E905DE9A5C88}" name="Bed_Type"/>
    <tableColumn id="4" xr3:uid="{2068D0E9-CBD1-486B-AC09-CF782BA55F31}" name="Floor"/>
    <tableColumn id="5" xr3:uid="{45A8C107-3AE8-45C2-959E-8387626CECB1}" name="Room_No"/>
    <tableColumn id="6" xr3:uid="{FC37D29F-A853-48AA-8183-14E31C6C2071}" name="Bed_Status"/>
    <tableColumn id="7" xr3:uid="{C0DC4FFD-062A-4AD6-8624-1CFB339D5E7F}" name="Assigned_Patient_ID"/>
    <tableColumn id="8" xr3:uid="{16E55B3F-2A77-45EB-B71A-F19BE7389464}" name="Admission_Date"/>
    <tableColumn id="9" xr3:uid="{425A4526-AF84-4D55-A8F3-FB8BFDDCDF01}" name="Expected_Discharge"/>
    <tableColumn id="10" xr3:uid="{5329C803-48AD-47EB-AC4F-25A1F4633CAF}" name="Priority_Reserve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142344-3F39-41E5-8EF5-E3C319A91950}" name="tbl_BedCharges" displayName="tbl_BedCharges" ref="A1:C6" totalsRowShown="0">
  <autoFilter ref="A1:C6" xr:uid="{2E142344-3F39-41E5-8EF5-E3C319A91950}"/>
  <tableColumns count="3">
    <tableColumn id="1" xr3:uid="{5D64C6AD-F49D-4F1C-BEA0-4D46D97B60CC}" name="Bed_Type"/>
    <tableColumn id="2" xr3:uid="{6DE060CF-30F5-42D1-843B-8B3FA67F4761}" name="Daily_Charge"/>
    <tableColumn id="3" xr3:uid="{99026AB5-0BE5-4FCE-AC5B-0EB3AD21BD53}" name="Deposi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455E71-8438-4154-9BF7-F2B0AEDEDFA5}" name="tbl_ICUCharges" displayName="tbl_ICUCharges" ref="E1:G7" totalsRowShown="0">
  <autoFilter ref="E1:G7" xr:uid="{00455E71-8438-4154-9BF7-F2B0AEDEDFA5}"/>
  <tableColumns count="3">
    <tableColumn id="1" xr3:uid="{2920D977-CDEB-426F-883F-1164A5A61C97}" name="ICU_Service"/>
    <tableColumn id="2" xr3:uid="{323A07B1-AE64-452D-AD92-9169F08FF846}" name="Charge"/>
    <tableColumn id="3" xr3:uid="{85DA6FF9-B0A2-430D-891C-014896FB78AE}" name="Billing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441ACA8-73A2-4DBD-AAF9-EC4CE77A522B}" name="tbl_EmergencyCharges" displayName="tbl_EmergencyCharges" ref="I1:K6" totalsRowShown="0">
  <autoFilter ref="I1:K6" xr:uid="{1441ACA8-73A2-4DBD-AAF9-EC4CE77A522B}"/>
  <tableColumns count="3">
    <tableColumn id="1" xr3:uid="{70020BBD-EAFB-4D8E-B05A-CEE73613F595}" name="Emergency_Service" dataDxfId="32"/>
    <tableColumn id="2" xr3:uid="{F45EC3D9-67F4-458F-B30E-535D472B3CE3}" name="Charge" dataDxfId="31"/>
    <tableColumn id="3" xr3:uid="{2D344652-2FA6-410C-87E4-9DD499443776}" name="Type" dataDxfId="3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0165767-0EA5-404B-9E92-D57C7A24674A}" name="tbl_MiscCharges" displayName="tbl_MiscCharges" ref="M1:O8" totalsRowShown="0" dataDxfId="29">
  <autoFilter ref="M1:O8" xr:uid="{A0165767-0EA5-404B-9E92-D57C7A24674A}"/>
  <tableColumns count="3">
    <tableColumn id="1" xr3:uid="{DA664450-309C-48E3-809B-529D3006836B}" name="Service" dataDxfId="28"/>
    <tableColumn id="2" xr3:uid="{9A44DC30-D612-404E-B6A6-183DDB7D1032}" name="Charge" dataDxfId="27"/>
    <tableColumn id="3" xr3:uid="{62247CA2-C329-4B04-AFF1-93306BBB86FD}" name="Type" dataDxfId="2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26DCB05-1130-4E61-9F00-A7482ABC6FE9}" name="tbl_DoctorCharges" displayName="tbl_DoctorCharges" ref="Q1:S11" totalsRowShown="0" dataDxfId="25">
  <autoFilter ref="Q1:S11" xr:uid="{F26DCB05-1130-4E61-9F00-A7482ABC6FE9}"/>
  <tableColumns count="3">
    <tableColumn id="1" xr3:uid="{1F8B3979-6586-4713-A579-BC9AAA0D794C}" name="Specialization" dataDxfId="24"/>
    <tableColumn id="2" xr3:uid="{085064CB-F957-4CA3-AD0F-7E13F4C1B52C}" name="Consultation_Fee" dataDxfId="23"/>
    <tableColumn id="3" xr3:uid="{7FE9EA52-C261-4432-AB17-09950FF04994}" name="Billing_Type"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48C7740-19CC-4E87-9D33-45323C7B48C2}" name="tbl_Insurance_detail" displayName="tbl_Insurance_detail" ref="A1:F9" totalsRowShown="0" dataDxfId="21">
  <autoFilter ref="A1:F9" xr:uid="{A48C7740-19CC-4E87-9D33-45323C7B48C2}"/>
  <tableColumns count="6">
    <tableColumn id="1" xr3:uid="{53B17DE5-6157-4727-848E-44B8AC179191}" name="Insurance_Type" dataDxfId="20"/>
    <tableColumn id="3" xr3:uid="{E64C2B51-1B64-454E-9571-4D00DC662E91}" name="Coverage_Percentage" dataDxfId="19"/>
    <tableColumn id="4" xr3:uid="{CF0D1600-9850-41BF-9674-B044B7B896E1}" name="Max_Claim_Amount" dataDxfId="18"/>
    <tableColumn id="5" xr3:uid="{9484290E-1BBF-4D0C-8E6A-6E34C32F508C}" name="Cashless_Eligible" dataDxfId="17"/>
    <tableColumn id="6" xr3:uid="{A79164FD-ED95-46D5-B15D-F7DC2898A56E}" name="Room_Rent_Limit" dataDxfId="16"/>
    <tableColumn id="7" xr3:uid="{FE9F25A5-F893-45E3-A3CE-4C626465F544}" name="ICU_Coverage" dataDxfId="1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75BD15-2A4E-4247-9A4A-70F56EBAB887}" name="tbl_Patients" displayName="tbl_Patients" ref="A1:W7" totalsRowShown="0">
  <autoFilter ref="A1:W7" xr:uid="{3475BD15-2A4E-4247-9A4A-70F56EBAB887}"/>
  <tableColumns count="23">
    <tableColumn id="1" xr3:uid="{3CFDBC6A-E9E4-41AD-AC4F-D38BD128F2DE}" name="Patient_ID"/>
    <tableColumn id="2" xr3:uid="{0171F738-BC42-408F-A3EB-EDF21BB5D98C}" name="Patient_Name"/>
    <tableColumn id="3" xr3:uid="{787D75FA-807E-483C-B236-5D67857F7A31}" name="Gender"/>
    <tableColumn id="4" xr3:uid="{8B0BF7BD-73E0-47B5-9AA9-1D27854A5278}" name="DOB"/>
    <tableColumn id="5" xr3:uid="{6292ACB2-567D-468F-9C4B-379B1E12924F}" name="Age"/>
    <tableColumn id="6" xr3:uid="{161E2516-EA58-40A6-9F77-849BAA7CF7B7}" name="Blood_Group"/>
    <tableColumn id="7" xr3:uid="{0D8473FB-D28F-4484-B4BE-345EDB694CBD}" name="Contact_Number"/>
    <tableColumn id="8" xr3:uid="{A943AFC4-01C4-42CC-BB8F-30BDCAD6A521}" name="City"/>
    <tableColumn id="9" xr3:uid="{78420790-3173-47EA-9A6C-43315A75D697}" name="Department"/>
    <tableColumn id="10" xr3:uid="{1C5889A3-98AE-4357-A0C1-00DAE035F67B}" name="Doctor_Specialization"/>
    <tableColumn id="11" xr3:uid="{B8E5D8DB-1E82-4BA8-AE79-00C8C9EABBE0}" name="Patient_Status"/>
    <tableColumn id="12" xr3:uid="{AC0B5395-5A36-43A5-B304-162C7F4E79D5}" name="Priority_Level"/>
    <tableColumn id="13" xr3:uid="{1947CABA-998C-411C-B95F-496AE756CBE9}" name="Admission_Type"/>
    <tableColumn id="14" xr3:uid="{48B362DA-EDB9-42BD-BF7C-930628CF16B9}" name="Insurance_Type"/>
    <tableColumn id="15" xr3:uid="{CB3E3902-13EC-4372-B34D-234ECB1FFC94}" name="Bed_Type"/>
    <tableColumn id="16" xr3:uid="{E01A40A5-9119-4D74-881F-5728D519CAB4}" name="Admission_Date"/>
    <tableColumn id="17" xr3:uid="{5297F9FC-C4A0-402A-BCE7-EBFFC7D91A46}" name="Expected_Stay_Days"/>
    <tableColumn id="18" xr3:uid="{17F815E1-CFC2-4CE4-803A-AAF8B8B73E60}" name="Emergency_Case"/>
    <tableColumn id="19" xr3:uid="{8859E442-5D3F-483E-BFDD-8FA161794BBC}" name="ICU_Required"/>
    <tableColumn id="20" xr3:uid="{5CCA32B9-F5B2-4804-A42F-813A3EDFD8FE}" name="Allocated_Bed_ID"/>
    <tableColumn id="21" xr3:uid="{383DD848-6C4B-402C-8CEF-B1DA614697DD}" name="Allocation_Status"/>
    <tableColumn id="22" xr3:uid="{6C52D7D0-13EB-45D9-A61C-A2F7BF7A4D49}" name="Assigned_Doctor_ID"/>
    <tableColumn id="23" xr3:uid="{BFB6939C-597C-44A3-BD9B-E30FC3ED995A}" name="Assigned_Doctor_Nam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D85024-CA45-481A-AC50-B4DED2945657}" name="Table13" displayName="Table13" ref="A1:H7" totalsRowShown="0">
  <autoFilter ref="A1:H7" xr:uid="{6FD85024-CA45-481A-AC50-B4DED2945657}"/>
  <tableColumns count="8">
    <tableColumn id="1" xr3:uid="{4934178D-20DC-4A02-A6CB-75C2CC782885}" name="Patient_ID">
      <calculatedColumnFormula>IF(Patient_Data!A2="","",Patient_Data!A2)</calculatedColumnFormula>
    </tableColumn>
    <tableColumn id="2" xr3:uid="{EC164406-3057-47AD-9DFC-824AB855244B}" name="Patient_Name">
      <calculatedColumnFormula>_xlfn.XLOOKUP(Table13[[#This Row],[Patient_ID]],tbl_Patients[[#This Row],[Patient_ID]],tbl_Patients[[#This Row],[Patient_Name]],"")</calculatedColumnFormula>
    </tableColumn>
    <tableColumn id="3" xr3:uid="{ABAF546E-351B-4A63-AC1A-435F3413EF1C}" name="Department">
      <calculatedColumnFormula>_xlfn.XLOOKUP(Table13[[#This Row],[Patient_ID]],tbl_Patients[[#This Row],[Patient_ID]],tbl_Patients[[#This Row],[Department]],"")</calculatedColumnFormula>
    </tableColumn>
    <tableColumn id="4" xr3:uid="{B03B3086-6AF0-411A-A3B3-1336FBCCAEAA}" name="Bed_Type_Required">
      <calculatedColumnFormula>_xlfn.XLOOKUP(Table13[[#This Row],[Patient_ID]],tbl_Patients[[#This Row],[Patient_ID]],tbl_Patients[[#This Row],[Bed_Type]],"")</calculatedColumnFormula>
    </tableColumn>
    <tableColumn id="5" xr3:uid="{A84EE3C7-3982-4F0B-8EE5-BC323E71A214}" name="Emergency_Case">
      <calculatedColumnFormula>_xlfn.XLOOKUP(Table13[[#This Row],[Patient_ID]],tbl_Patients[[#This Row],[Patient_ID]],tbl_Patients[[#This Row],[Emergency_Case]],"")</calculatedColumnFormula>
    </tableColumn>
    <tableColumn id="6" xr3:uid="{8754ADB4-8C3F-49C0-A57C-74FFB2E68B4F}" name="ICU_Required">
      <calculatedColumnFormula>_xlfn.XLOOKUP(Table13[[#This Row],[Patient_ID]],tbl_Patients[[#This Row],[Patient_ID]],tbl_Patients[[#This Row],[ICU_Required]],"")</calculatedColumnFormula>
    </tableColumn>
    <tableColumn id="7" xr3:uid="{0167F35F-4DCA-40E3-AB82-F09991147546}" name="Allocated_Bed_ID">
      <calculatedColumnFormula>_xlfn.XLOOKUP(Table13[[#This Row],[Patient_ID]],tbl_Patients[[#This Row],[Patient_ID]],tbl_Patients[[#This Row],[Allocated_Bed_ID]],"")</calculatedColumnFormula>
    </tableColumn>
    <tableColumn id="8" xr3:uid="{178BC818-1917-4B6D-9420-35DD48E1C151}" name="Allocation_Status">
      <calculatedColumnFormula>_xlfn.XLOOKUP(Table13[[#This Row],[Patient_ID]],tbl_Patients[[#This Row],[Patient_ID]],tbl_Patients[[#This Row],[Allocation_Status]],"")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Admission_Date" xr10:uid="{4A27833E-25B0-43FA-B08C-0B656FA48EB0}" sourceName="Admission_Date">
  <pivotTables>
    <pivotTable tabId="9" name="Department-wise Patients"/>
    <pivotTable tabId="9" name="Daily Admission Trend"/>
    <pivotTable tabId="9" name="Patient Status Distribution"/>
  </pivotTables>
  <state minimalRefreshVersion="6" lastRefreshVersion="6" pivotCacheId="636216073" filterType="dateBetween">
    <selection startDate="2026-04-01T00:00:00" endDate="2026-04-30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dmission_Date" xr10:uid="{28114DE8-DEFC-4248-A85B-82C539CDA20D}" cache="NativeTimeline_Admission_Date" caption="Admission_Date" showHeader="0" showSelectionLabel="0" showTimeLevel="0" level="2" selectionLevel="2" scrollPosition="2026-01-01T00:00:00" style="TimeSlicerStyleLight5"/>
</timelines>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5" Type="http://schemas.openxmlformats.org/officeDocument/2006/relationships/table" Target="../tables/table17.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E3235-70FF-4756-BCCC-5C80103006E2}">
  <sheetPr>
    <tabColor theme="9" tint="-0.249977111117893"/>
  </sheetPr>
  <dimension ref="A2:AB13"/>
  <sheetViews>
    <sheetView topLeftCell="D7" zoomScaleNormal="100" workbookViewId="0">
      <selection activeCell="D18" sqref="D18:E18"/>
    </sheetView>
  </sheetViews>
  <sheetFormatPr defaultRowHeight="15" x14ac:dyDescent="0.25"/>
  <cols>
    <col min="1" max="1" width="13.140625" bestFit="1" customWidth="1"/>
    <col min="2" max="2" width="18.5703125" bestFit="1" customWidth="1"/>
    <col min="4" max="4" width="13.140625" bestFit="1" customWidth="1"/>
    <col min="5" max="5" width="15.42578125" bestFit="1" customWidth="1"/>
    <col min="7" max="7" width="13.140625" bestFit="1" customWidth="1"/>
    <col min="8" max="8" width="15.42578125" bestFit="1" customWidth="1"/>
    <col min="13" max="13" width="15.42578125" bestFit="1" customWidth="1"/>
    <col min="14" max="14" width="23.7109375" bestFit="1" customWidth="1"/>
    <col min="20" max="20" width="13.140625" bestFit="1" customWidth="1"/>
    <col min="21" max="21" width="18.5703125" bestFit="1" customWidth="1"/>
    <col min="27" max="27" width="18" bestFit="1" customWidth="1"/>
    <col min="28" max="28" width="18.5703125" bestFit="1" customWidth="1"/>
  </cols>
  <sheetData>
    <row r="2" spans="1:28" x14ac:dyDescent="0.25">
      <c r="A2" s="11" t="s">
        <v>320</v>
      </c>
      <c r="B2" t="s">
        <v>322</v>
      </c>
      <c r="G2" s="11" t="s">
        <v>320</v>
      </c>
      <c r="H2" t="s">
        <v>323</v>
      </c>
      <c r="M2" s="11" t="s">
        <v>320</v>
      </c>
      <c r="N2" t="s">
        <v>324</v>
      </c>
      <c r="T2" s="11" t="s">
        <v>320</v>
      </c>
      <c r="U2" t="s">
        <v>322</v>
      </c>
      <c r="AA2" s="11" t="s">
        <v>320</v>
      </c>
      <c r="AB2" t="s">
        <v>322</v>
      </c>
    </row>
    <row r="3" spans="1:28" x14ac:dyDescent="0.25">
      <c r="A3" s="12" t="s">
        <v>7</v>
      </c>
      <c r="B3" s="51">
        <v>2</v>
      </c>
      <c r="G3" s="12" t="s">
        <v>271</v>
      </c>
      <c r="H3" s="51">
        <v>10</v>
      </c>
      <c r="M3" s="12" t="s">
        <v>299</v>
      </c>
      <c r="N3" s="14">
        <v>0</v>
      </c>
      <c r="T3" s="13">
        <v>46142</v>
      </c>
      <c r="U3" s="51">
        <v>4</v>
      </c>
      <c r="AA3" s="12" t="s">
        <v>49</v>
      </c>
      <c r="AB3" s="51">
        <v>1</v>
      </c>
    </row>
    <row r="4" spans="1:28" x14ac:dyDescent="0.25">
      <c r="A4" s="12" t="s">
        <v>5</v>
      </c>
      <c r="B4" s="51">
        <v>1</v>
      </c>
      <c r="G4" s="12" t="s">
        <v>273</v>
      </c>
      <c r="H4" s="51">
        <v>2</v>
      </c>
      <c r="M4" s="12" t="s">
        <v>303</v>
      </c>
      <c r="N4" s="14">
        <v>2</v>
      </c>
      <c r="T4" s="13">
        <v>46140</v>
      </c>
      <c r="U4" s="51">
        <v>1</v>
      </c>
      <c r="AA4" s="12" t="s">
        <v>51</v>
      </c>
      <c r="AB4" s="51">
        <v>2</v>
      </c>
    </row>
    <row r="5" spans="1:28" x14ac:dyDescent="0.25">
      <c r="A5" s="12" t="s">
        <v>11</v>
      </c>
      <c r="B5" s="51">
        <v>2</v>
      </c>
      <c r="G5" s="12" t="s">
        <v>272</v>
      </c>
      <c r="H5" s="51">
        <v>6</v>
      </c>
      <c r="M5" s="12" t="s">
        <v>307</v>
      </c>
      <c r="N5" s="14">
        <v>0</v>
      </c>
      <c r="T5" s="13">
        <v>46138</v>
      </c>
      <c r="U5" s="51">
        <v>1</v>
      </c>
      <c r="AA5" s="12" t="s">
        <v>47</v>
      </c>
      <c r="AB5" s="51">
        <v>3</v>
      </c>
    </row>
    <row r="6" spans="1:28" x14ac:dyDescent="0.25">
      <c r="A6" s="12" t="s">
        <v>13</v>
      </c>
      <c r="B6" s="51">
        <v>1</v>
      </c>
      <c r="G6" s="12" t="s">
        <v>274</v>
      </c>
      <c r="H6" s="51">
        <v>2</v>
      </c>
      <c r="M6" s="12" t="s">
        <v>300</v>
      </c>
      <c r="N6" s="14">
        <v>1</v>
      </c>
      <c r="T6" s="13" t="s">
        <v>321</v>
      </c>
      <c r="U6" s="51">
        <v>6</v>
      </c>
      <c r="AA6" s="12" t="s">
        <v>321</v>
      </c>
      <c r="AB6" s="51">
        <v>6</v>
      </c>
    </row>
    <row r="7" spans="1:28" x14ac:dyDescent="0.25">
      <c r="A7" s="12" t="s">
        <v>321</v>
      </c>
      <c r="B7" s="51">
        <v>6</v>
      </c>
      <c r="G7" s="12" t="s">
        <v>321</v>
      </c>
      <c r="H7" s="51">
        <v>20</v>
      </c>
      <c r="M7" s="12" t="s">
        <v>302</v>
      </c>
      <c r="N7" s="14">
        <v>0</v>
      </c>
    </row>
    <row r="8" spans="1:28" x14ac:dyDescent="0.25">
      <c r="M8" s="12" t="s">
        <v>301</v>
      </c>
      <c r="N8" s="14">
        <v>2</v>
      </c>
    </row>
    <row r="9" spans="1:28" x14ac:dyDescent="0.25">
      <c r="M9" s="12" t="s">
        <v>308</v>
      </c>
      <c r="N9" s="14">
        <v>0</v>
      </c>
    </row>
    <row r="10" spans="1:28" x14ac:dyDescent="0.25">
      <c r="M10" s="12" t="s">
        <v>306</v>
      </c>
      <c r="N10" s="14">
        <v>0</v>
      </c>
    </row>
    <row r="11" spans="1:28" x14ac:dyDescent="0.25">
      <c r="M11" s="12" t="s">
        <v>304</v>
      </c>
      <c r="N11" s="14">
        <v>0</v>
      </c>
    </row>
    <row r="12" spans="1:28" x14ac:dyDescent="0.25">
      <c r="M12" s="12" t="s">
        <v>305</v>
      </c>
      <c r="N12" s="14">
        <v>1</v>
      </c>
    </row>
    <row r="13" spans="1:28" x14ac:dyDescent="0.25">
      <c r="M13" s="12" t="s">
        <v>321</v>
      </c>
      <c r="N13" s="14">
        <v>6</v>
      </c>
    </row>
  </sheetData>
  <pageMargins left="0.7" right="0.7" top="0.75" bottom="0.75" header="0.3" footer="0.3"/>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AA6EB-0F11-4B41-9FD6-C4E3693EDD4C}">
  <sheetPr codeName="Sheet1">
    <tabColor theme="9" tint="-0.249977111117893"/>
  </sheetPr>
  <dimension ref="A1:AC21"/>
  <sheetViews>
    <sheetView workbookViewId="0">
      <selection activeCell="D18" sqref="D18:E18"/>
    </sheetView>
  </sheetViews>
  <sheetFormatPr defaultRowHeight="15" x14ac:dyDescent="0.25"/>
  <cols>
    <col min="1" max="1" width="16.7109375" customWidth="1"/>
    <col min="2" max="2" width="20.140625" customWidth="1"/>
    <col min="4" max="4" width="14.7109375" customWidth="1"/>
    <col min="5" max="5" width="13.140625" customWidth="1"/>
    <col min="7" max="7" width="11.42578125" customWidth="1"/>
    <col min="8" max="8" width="18" bestFit="1" customWidth="1"/>
    <col min="10" max="10" width="10.140625" customWidth="1"/>
    <col min="11" max="11" width="19.85546875" bestFit="1" customWidth="1"/>
    <col min="13" max="13" width="12.42578125" customWidth="1"/>
    <col min="14" max="14" width="13.7109375" customWidth="1"/>
    <col min="16" max="16" width="17" customWidth="1"/>
    <col min="17" max="17" width="19.85546875" bestFit="1" customWidth="1"/>
    <col min="19" max="19" width="12.5703125" customWidth="1"/>
    <col min="20" max="20" width="15.42578125" customWidth="1"/>
    <col min="22" max="22" width="15.28515625" customWidth="1"/>
    <col min="23" max="23" width="17.7109375" customWidth="1"/>
    <col min="25" max="25" width="15.42578125" customWidth="1"/>
    <col min="26" max="26" width="9.85546875" customWidth="1"/>
    <col min="28" max="28" width="11.140625" customWidth="1"/>
    <col min="29" max="29" width="14.85546875" customWidth="1"/>
  </cols>
  <sheetData>
    <row r="1" spans="1:29" x14ac:dyDescent="0.25">
      <c r="A1" t="s">
        <v>0</v>
      </c>
      <c r="B1" t="s">
        <v>1</v>
      </c>
      <c r="D1" t="s">
        <v>32</v>
      </c>
      <c r="E1" t="s">
        <v>33</v>
      </c>
      <c r="G1" t="s">
        <v>44</v>
      </c>
      <c r="H1" t="s">
        <v>45</v>
      </c>
      <c r="J1" t="s">
        <v>58</v>
      </c>
      <c r="K1" t="s">
        <v>59</v>
      </c>
      <c r="M1" t="s">
        <v>90</v>
      </c>
      <c r="N1" t="s">
        <v>91</v>
      </c>
      <c r="P1" t="s">
        <v>132</v>
      </c>
      <c r="Q1" t="s">
        <v>133</v>
      </c>
      <c r="S1" t="s">
        <v>150</v>
      </c>
      <c r="T1" t="s">
        <v>151</v>
      </c>
      <c r="V1" t="s">
        <v>159</v>
      </c>
      <c r="W1" t="s">
        <v>160</v>
      </c>
      <c r="Y1" t="s">
        <v>168</v>
      </c>
      <c r="Z1" t="s">
        <v>169</v>
      </c>
      <c r="AB1" t="s">
        <v>176</v>
      </c>
      <c r="AC1" t="s">
        <v>177</v>
      </c>
    </row>
    <row r="2" spans="1:29" x14ac:dyDescent="0.25">
      <c r="A2" s="1" t="s">
        <v>2</v>
      </c>
      <c r="B2" s="1" t="s">
        <v>3</v>
      </c>
      <c r="D2" s="1" t="s">
        <v>34</v>
      </c>
      <c r="E2" s="1" t="s">
        <v>35</v>
      </c>
      <c r="G2" s="1" t="s">
        <v>46</v>
      </c>
      <c r="H2" s="1" t="s">
        <v>47</v>
      </c>
      <c r="J2" s="1" t="s">
        <v>60</v>
      </c>
      <c r="K2" s="1" t="s">
        <v>61</v>
      </c>
      <c r="M2" s="2" t="s">
        <v>92</v>
      </c>
      <c r="N2" s="2" t="s">
        <v>93</v>
      </c>
      <c r="P2" s="2" t="s">
        <v>134</v>
      </c>
      <c r="Q2" s="2" t="s">
        <v>135</v>
      </c>
      <c r="S2" s="1" t="s">
        <v>152</v>
      </c>
      <c r="T2" s="1" t="s">
        <v>153</v>
      </c>
      <c r="V2" s="1" t="s">
        <v>161</v>
      </c>
      <c r="W2" s="1" t="s">
        <v>162</v>
      </c>
      <c r="Y2" s="1" t="s">
        <v>170</v>
      </c>
      <c r="Z2" s="1" t="s">
        <v>171</v>
      </c>
      <c r="AB2" s="1" t="s">
        <v>178</v>
      </c>
      <c r="AC2" s="1" t="s">
        <v>179</v>
      </c>
    </row>
    <row r="3" spans="1:29" x14ac:dyDescent="0.25">
      <c r="A3" s="1" t="s">
        <v>4</v>
      </c>
      <c r="B3" s="1" t="s">
        <v>5</v>
      </c>
      <c r="D3" s="1" t="s">
        <v>36</v>
      </c>
      <c r="E3" s="1" t="s">
        <v>17</v>
      </c>
      <c r="G3" s="1" t="s">
        <v>48</v>
      </c>
      <c r="H3" s="2" t="s">
        <v>49</v>
      </c>
      <c r="J3" s="1" t="s">
        <v>62</v>
      </c>
      <c r="K3" s="1" t="s">
        <v>63</v>
      </c>
      <c r="M3" s="2" t="s">
        <v>94</v>
      </c>
      <c r="N3" s="2" t="s">
        <v>95</v>
      </c>
      <c r="P3" s="2" t="s">
        <v>136</v>
      </c>
      <c r="Q3" s="2" t="s">
        <v>137</v>
      </c>
      <c r="S3" s="1" t="s">
        <v>154</v>
      </c>
      <c r="T3" s="1" t="s">
        <v>155</v>
      </c>
      <c r="V3" s="1" t="s">
        <v>163</v>
      </c>
      <c r="W3" s="1" t="s">
        <v>19</v>
      </c>
      <c r="Y3" s="1" t="s">
        <v>172</v>
      </c>
      <c r="Z3" s="1" t="s">
        <v>173</v>
      </c>
      <c r="AB3" s="1" t="s">
        <v>180</v>
      </c>
      <c r="AC3" s="1" t="s">
        <v>181</v>
      </c>
    </row>
    <row r="4" spans="1:29" x14ac:dyDescent="0.25">
      <c r="A4" s="1" t="s">
        <v>6</v>
      </c>
      <c r="B4" s="1" t="s">
        <v>7</v>
      </c>
      <c r="D4" s="1" t="s">
        <v>37</v>
      </c>
      <c r="E4" s="2" t="s">
        <v>38</v>
      </c>
      <c r="G4" s="1" t="s">
        <v>50</v>
      </c>
      <c r="H4" s="1" t="s">
        <v>51</v>
      </c>
      <c r="J4" s="1" t="s">
        <v>64</v>
      </c>
      <c r="K4" s="1" t="s">
        <v>65</v>
      </c>
      <c r="M4" s="2" t="s">
        <v>96</v>
      </c>
      <c r="N4" s="2" t="s">
        <v>97</v>
      </c>
      <c r="P4" s="2" t="s">
        <v>138</v>
      </c>
      <c r="Q4" s="2" t="s">
        <v>139</v>
      </c>
      <c r="S4" s="1" t="s">
        <v>156</v>
      </c>
      <c r="T4" s="1" t="s">
        <v>157</v>
      </c>
      <c r="V4" s="1" t="s">
        <v>164</v>
      </c>
      <c r="W4" s="1" t="s">
        <v>165</v>
      </c>
      <c r="Y4" s="1" t="s">
        <v>174</v>
      </c>
      <c r="Z4" s="1" t="s">
        <v>175</v>
      </c>
      <c r="AB4" s="1" t="s">
        <v>182</v>
      </c>
      <c r="AC4" s="1" t="s">
        <v>183</v>
      </c>
    </row>
    <row r="5" spans="1:29" x14ac:dyDescent="0.25">
      <c r="A5" s="1" t="s">
        <v>8</v>
      </c>
      <c r="B5" s="1" t="s">
        <v>9</v>
      </c>
      <c r="D5" s="1" t="s">
        <v>39</v>
      </c>
      <c r="E5" s="1" t="s">
        <v>40</v>
      </c>
      <c r="G5" s="1" t="s">
        <v>52</v>
      </c>
      <c r="H5" s="1" t="s">
        <v>53</v>
      </c>
      <c r="J5" s="1" t="s">
        <v>66</v>
      </c>
      <c r="K5" s="1" t="s">
        <v>67</v>
      </c>
      <c r="M5" s="2" t="s">
        <v>98</v>
      </c>
      <c r="N5" s="2" t="s">
        <v>99</v>
      </c>
      <c r="P5" s="2" t="s">
        <v>140</v>
      </c>
      <c r="Q5" s="2" t="s">
        <v>141</v>
      </c>
      <c r="S5" s="1" t="s">
        <v>158</v>
      </c>
      <c r="T5" s="1" t="s">
        <v>51</v>
      </c>
      <c r="V5" s="1" t="s">
        <v>166</v>
      </c>
      <c r="W5" s="1" t="s">
        <v>167</v>
      </c>
      <c r="AB5" s="1" t="s">
        <v>184</v>
      </c>
      <c r="AC5" s="1" t="s">
        <v>185</v>
      </c>
    </row>
    <row r="6" spans="1:29" x14ac:dyDescent="0.25">
      <c r="A6" s="1" t="s">
        <v>10</v>
      </c>
      <c r="B6" s="1" t="s">
        <v>11</v>
      </c>
      <c r="D6" s="1" t="s">
        <v>41</v>
      </c>
      <c r="E6" s="2" t="s">
        <v>19</v>
      </c>
      <c r="G6" s="1" t="s">
        <v>54</v>
      </c>
      <c r="H6" s="1" t="s">
        <v>55</v>
      </c>
      <c r="J6" s="1" t="s">
        <v>68</v>
      </c>
      <c r="K6" s="1" t="s">
        <v>69</v>
      </c>
      <c r="M6" s="2" t="s">
        <v>100</v>
      </c>
      <c r="N6" s="2" t="s">
        <v>101</v>
      </c>
      <c r="P6" s="2" t="s">
        <v>142</v>
      </c>
      <c r="Q6" s="2" t="s">
        <v>143</v>
      </c>
      <c r="AB6" s="1" t="s">
        <v>186</v>
      </c>
      <c r="AC6" s="1" t="s">
        <v>187</v>
      </c>
    </row>
    <row r="7" spans="1:29" x14ac:dyDescent="0.25">
      <c r="A7" s="1" t="s">
        <v>12</v>
      </c>
      <c r="B7" s="2" t="s">
        <v>13</v>
      </c>
      <c r="D7" s="1" t="s">
        <v>42</v>
      </c>
      <c r="E7" s="1" t="s">
        <v>43</v>
      </c>
      <c r="G7" s="1" t="s">
        <v>56</v>
      </c>
      <c r="H7" s="1" t="s">
        <v>57</v>
      </c>
      <c r="J7" s="1" t="s">
        <v>70</v>
      </c>
      <c r="K7" s="2" t="s">
        <v>71</v>
      </c>
      <c r="M7" s="2" t="s">
        <v>102</v>
      </c>
      <c r="N7" s="2" t="s">
        <v>103</v>
      </c>
      <c r="P7" s="2" t="s">
        <v>144</v>
      </c>
      <c r="Q7" s="2" t="s">
        <v>145</v>
      </c>
      <c r="AB7" s="1" t="s">
        <v>188</v>
      </c>
      <c r="AC7" s="1" t="s">
        <v>189</v>
      </c>
    </row>
    <row r="8" spans="1:29" x14ac:dyDescent="0.25">
      <c r="A8" s="1" t="s">
        <v>14</v>
      </c>
      <c r="B8" s="1" t="s">
        <v>15</v>
      </c>
      <c r="J8" s="1" t="s">
        <v>72</v>
      </c>
      <c r="K8" s="1" t="s">
        <v>73</v>
      </c>
      <c r="M8" s="2" t="s">
        <v>104</v>
      </c>
      <c r="N8" s="2" t="s">
        <v>105</v>
      </c>
      <c r="P8" s="2" t="s">
        <v>146</v>
      </c>
      <c r="Q8" s="2" t="s">
        <v>147</v>
      </c>
      <c r="AB8" s="1" t="s">
        <v>190</v>
      </c>
      <c r="AC8" s="1" t="s">
        <v>191</v>
      </c>
    </row>
    <row r="9" spans="1:29" x14ac:dyDescent="0.25">
      <c r="A9" s="1" t="s">
        <v>16</v>
      </c>
      <c r="B9" s="1" t="s">
        <v>17</v>
      </c>
      <c r="J9" s="1" t="s">
        <v>74</v>
      </c>
      <c r="K9" s="2" t="s">
        <v>75</v>
      </c>
      <c r="M9" s="2" t="s">
        <v>106</v>
      </c>
      <c r="N9" s="2" t="s">
        <v>107</v>
      </c>
      <c r="P9" s="2" t="s">
        <v>148</v>
      </c>
      <c r="Q9" s="2" t="s">
        <v>149</v>
      </c>
      <c r="AB9" s="1" t="s">
        <v>192</v>
      </c>
      <c r="AC9" s="1" t="s">
        <v>193</v>
      </c>
    </row>
    <row r="10" spans="1:29" x14ac:dyDescent="0.25">
      <c r="A10" s="1" t="s">
        <v>18</v>
      </c>
      <c r="B10" s="1" t="s">
        <v>19</v>
      </c>
      <c r="J10" s="1" t="s">
        <v>76</v>
      </c>
      <c r="K10" s="2" t="s">
        <v>77</v>
      </c>
      <c r="M10" s="2" t="s">
        <v>108</v>
      </c>
      <c r="N10" s="2" t="s">
        <v>109</v>
      </c>
    </row>
    <row r="11" spans="1:29" x14ac:dyDescent="0.25">
      <c r="A11" s="1" t="s">
        <v>20</v>
      </c>
      <c r="B11" s="1" t="s">
        <v>21</v>
      </c>
      <c r="J11" s="1" t="s">
        <v>78</v>
      </c>
      <c r="K11" s="1" t="s">
        <v>79</v>
      </c>
      <c r="M11" s="2" t="s">
        <v>110</v>
      </c>
      <c r="N11" s="2" t="s">
        <v>111</v>
      </c>
    </row>
    <row r="12" spans="1:29" x14ac:dyDescent="0.25">
      <c r="A12" s="1" t="s">
        <v>22</v>
      </c>
      <c r="B12" s="1" t="s">
        <v>23</v>
      </c>
      <c r="J12" s="1" t="s">
        <v>80</v>
      </c>
      <c r="K12" s="1" t="s">
        <v>81</v>
      </c>
      <c r="M12" s="2" t="s">
        <v>112</v>
      </c>
      <c r="N12" s="2" t="s">
        <v>113</v>
      </c>
    </row>
    <row r="13" spans="1:29" x14ac:dyDescent="0.25">
      <c r="A13" s="1" t="s">
        <v>24</v>
      </c>
      <c r="B13" s="1" t="s">
        <v>25</v>
      </c>
      <c r="J13" s="1" t="s">
        <v>82</v>
      </c>
      <c r="K13" s="1" t="s">
        <v>83</v>
      </c>
      <c r="M13" s="2" t="s">
        <v>114</v>
      </c>
      <c r="N13" s="2" t="s">
        <v>115</v>
      </c>
    </row>
    <row r="14" spans="1:29" x14ac:dyDescent="0.25">
      <c r="A14" s="1" t="s">
        <v>26</v>
      </c>
      <c r="B14" s="1" t="s">
        <v>27</v>
      </c>
      <c r="J14" s="1" t="s">
        <v>84</v>
      </c>
      <c r="K14" s="1" t="s">
        <v>85</v>
      </c>
      <c r="M14" s="2" t="s">
        <v>116</v>
      </c>
      <c r="N14" s="2" t="s">
        <v>117</v>
      </c>
    </row>
    <row r="15" spans="1:29" x14ac:dyDescent="0.25">
      <c r="A15" s="1" t="s">
        <v>28</v>
      </c>
      <c r="B15" s="1" t="s">
        <v>29</v>
      </c>
      <c r="J15" s="1" t="s">
        <v>86</v>
      </c>
      <c r="K15" s="2" t="s">
        <v>87</v>
      </c>
      <c r="M15" s="2" t="s">
        <v>118</v>
      </c>
      <c r="N15" s="2" t="s">
        <v>119</v>
      </c>
    </row>
    <row r="16" spans="1:29" x14ac:dyDescent="0.25">
      <c r="A16" s="1" t="s">
        <v>30</v>
      </c>
      <c r="B16" s="1" t="s">
        <v>31</v>
      </c>
      <c r="J16" s="1" t="s">
        <v>88</v>
      </c>
      <c r="K16" s="2" t="s">
        <v>89</v>
      </c>
      <c r="M16" s="2" t="s">
        <v>120</v>
      </c>
      <c r="N16" s="2" t="s">
        <v>121</v>
      </c>
    </row>
    <row r="17" spans="13:14" x14ac:dyDescent="0.25">
      <c r="M17" s="2" t="s">
        <v>122</v>
      </c>
      <c r="N17" s="2" t="s">
        <v>123</v>
      </c>
    </row>
    <row r="18" spans="13:14" x14ac:dyDescent="0.25">
      <c r="M18" s="2" t="s">
        <v>124</v>
      </c>
      <c r="N18" s="2" t="s">
        <v>125</v>
      </c>
    </row>
    <row r="19" spans="13:14" x14ac:dyDescent="0.25">
      <c r="M19" s="2" t="s">
        <v>126</v>
      </c>
      <c r="N19" s="2" t="s">
        <v>127</v>
      </c>
    </row>
    <row r="20" spans="13:14" x14ac:dyDescent="0.25">
      <c r="M20" s="2" t="s">
        <v>128</v>
      </c>
      <c r="N20" s="2" t="s">
        <v>129</v>
      </c>
    </row>
    <row r="21" spans="13:14" x14ac:dyDescent="0.25">
      <c r="M21" s="2" t="s">
        <v>130</v>
      </c>
      <c r="N21" s="2" t="s">
        <v>131</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A9AD-22B4-41B3-A442-E5CBF53E9881}">
  <sheetPr codeName="Sheet5">
    <tabColor theme="9" tint="-0.249977111117893"/>
  </sheetPr>
  <dimension ref="A1:I11"/>
  <sheetViews>
    <sheetView workbookViewId="0">
      <selection activeCell="F4" sqref="F4"/>
    </sheetView>
  </sheetViews>
  <sheetFormatPr defaultRowHeight="15" x14ac:dyDescent="0.25"/>
  <cols>
    <col min="1" max="1" width="11.85546875" customWidth="1"/>
    <col min="2" max="2" width="20.140625" customWidth="1"/>
    <col min="3" max="3" width="18.85546875" customWidth="1"/>
    <col min="4" max="4" width="20.140625" customWidth="1"/>
    <col min="5" max="5" width="22.85546875" customWidth="1"/>
    <col min="6" max="6" width="18.85546875" style="14" customWidth="1"/>
    <col min="7" max="7" width="19.5703125" customWidth="1"/>
    <col min="8" max="8" width="18.85546875" customWidth="1"/>
    <col min="9" max="9" width="18.7109375" customWidth="1"/>
  </cols>
  <sheetData>
    <row r="1" spans="1:9" x14ac:dyDescent="0.25">
      <c r="A1" t="s">
        <v>280</v>
      </c>
      <c r="B1" t="s">
        <v>281</v>
      </c>
      <c r="C1" t="s">
        <v>201</v>
      </c>
      <c r="D1" t="s">
        <v>59</v>
      </c>
      <c r="E1" t="s">
        <v>282</v>
      </c>
      <c r="F1" s="14" t="s">
        <v>283</v>
      </c>
      <c r="G1" t="s">
        <v>284</v>
      </c>
      <c r="H1" t="s">
        <v>285</v>
      </c>
      <c r="I1" t="s">
        <v>286</v>
      </c>
    </row>
    <row r="2" spans="1:9" x14ac:dyDescent="0.25">
      <c r="A2" t="s">
        <v>289</v>
      </c>
      <c r="B2" t="s">
        <v>299</v>
      </c>
      <c r="C2" t="s">
        <v>3</v>
      </c>
      <c r="D2" t="s">
        <v>71</v>
      </c>
      <c r="E2">
        <v>5</v>
      </c>
      <c r="F2" s="14">
        <f>VALUE(COUNTIF(Patient_Data!V:V,A2))</f>
        <v>0</v>
      </c>
      <c r="G2" t="str">
        <f t="shared" ref="G2:G11" si="0">IF(F2&gt;=E2,"Busy","Available")</f>
        <v>Available</v>
      </c>
      <c r="H2">
        <v>10</v>
      </c>
      <c r="I2">
        <v>500</v>
      </c>
    </row>
    <row r="3" spans="1:9" x14ac:dyDescent="0.25">
      <c r="A3" t="s">
        <v>290</v>
      </c>
      <c r="B3" t="s">
        <v>300</v>
      </c>
      <c r="C3" t="s">
        <v>5</v>
      </c>
      <c r="D3" t="s">
        <v>61</v>
      </c>
      <c r="E3">
        <v>4</v>
      </c>
      <c r="F3" s="14">
        <f>VALUE(COUNTIF(Patient_Data!V:V,A3))</f>
        <v>1</v>
      </c>
      <c r="G3" t="str">
        <f t="shared" si="0"/>
        <v>Available</v>
      </c>
      <c r="H3">
        <v>12</v>
      </c>
      <c r="I3">
        <v>1000</v>
      </c>
    </row>
    <row r="4" spans="1:9" x14ac:dyDescent="0.25">
      <c r="A4" t="s">
        <v>291</v>
      </c>
      <c r="B4" t="s">
        <v>301</v>
      </c>
      <c r="C4" t="s">
        <v>7</v>
      </c>
      <c r="D4" t="s">
        <v>63</v>
      </c>
      <c r="E4">
        <v>3</v>
      </c>
      <c r="F4" s="14">
        <f>VALUE(COUNTIF(Patient_Data!V:V,A4))</f>
        <v>2</v>
      </c>
      <c r="G4" t="str">
        <f t="shared" si="0"/>
        <v>Available</v>
      </c>
      <c r="H4">
        <v>15</v>
      </c>
      <c r="I4">
        <v>1200</v>
      </c>
    </row>
    <row r="5" spans="1:9" x14ac:dyDescent="0.25">
      <c r="A5" t="s">
        <v>292</v>
      </c>
      <c r="B5" t="s">
        <v>302</v>
      </c>
      <c r="C5" t="s">
        <v>9</v>
      </c>
      <c r="D5" t="s">
        <v>65</v>
      </c>
      <c r="E5">
        <v>5</v>
      </c>
      <c r="F5" s="14">
        <f>VALUE(COUNTIF(Patient_Data!V:V,A5))</f>
        <v>0</v>
      </c>
      <c r="G5" t="str">
        <f t="shared" si="0"/>
        <v>Available</v>
      </c>
      <c r="H5">
        <v>8</v>
      </c>
      <c r="I5">
        <v>700</v>
      </c>
    </row>
    <row r="6" spans="1:9" x14ac:dyDescent="0.25">
      <c r="A6" t="s">
        <v>293</v>
      </c>
      <c r="B6" t="s">
        <v>303</v>
      </c>
      <c r="C6" t="s">
        <v>11</v>
      </c>
      <c r="D6" t="s">
        <v>67</v>
      </c>
      <c r="E6">
        <v>2</v>
      </c>
      <c r="F6" s="14">
        <f>VALUE(COUNTIF(Patient_Data!V:V,A6))</f>
        <v>2</v>
      </c>
      <c r="G6" t="str">
        <f t="shared" si="0"/>
        <v>Busy</v>
      </c>
      <c r="H6">
        <v>20</v>
      </c>
      <c r="I6">
        <v>2000</v>
      </c>
    </row>
    <row r="7" spans="1:9" x14ac:dyDescent="0.25">
      <c r="A7" t="s">
        <v>294</v>
      </c>
      <c r="B7" t="s">
        <v>304</v>
      </c>
      <c r="C7" t="s">
        <v>19</v>
      </c>
      <c r="D7" t="s">
        <v>89</v>
      </c>
      <c r="E7">
        <v>6</v>
      </c>
      <c r="F7" s="14">
        <f>VALUE(COUNTIF(Patient_Data!V:V,A7))</f>
        <v>0</v>
      </c>
      <c r="G7" t="str">
        <f t="shared" si="0"/>
        <v>Available</v>
      </c>
      <c r="H7">
        <v>7</v>
      </c>
      <c r="I7">
        <v>600</v>
      </c>
    </row>
    <row r="8" spans="1:9" x14ac:dyDescent="0.25">
      <c r="A8" t="s">
        <v>295</v>
      </c>
      <c r="B8" t="s">
        <v>305</v>
      </c>
      <c r="C8" t="s">
        <v>13</v>
      </c>
      <c r="D8" t="s">
        <v>75</v>
      </c>
      <c r="E8">
        <v>4</v>
      </c>
      <c r="F8" s="14">
        <f>VALUE(COUNTIF(Patient_Data!V:V,A8))</f>
        <v>1</v>
      </c>
      <c r="G8" t="str">
        <f t="shared" si="0"/>
        <v>Available</v>
      </c>
      <c r="H8">
        <v>11</v>
      </c>
      <c r="I8">
        <v>900</v>
      </c>
    </row>
    <row r="9" spans="1:9" x14ac:dyDescent="0.25">
      <c r="A9" t="s">
        <v>296</v>
      </c>
      <c r="B9" t="s">
        <v>306</v>
      </c>
      <c r="C9" t="s">
        <v>25</v>
      </c>
      <c r="D9" t="s">
        <v>85</v>
      </c>
      <c r="E9">
        <v>5</v>
      </c>
      <c r="F9" s="14">
        <f>VALUE(COUNTIF(Patient_Data!V:V,A9))</f>
        <v>0</v>
      </c>
      <c r="G9" t="str">
        <f t="shared" si="0"/>
        <v>Available</v>
      </c>
      <c r="H9">
        <v>6</v>
      </c>
      <c r="I9">
        <v>650</v>
      </c>
    </row>
    <row r="10" spans="1:9" x14ac:dyDescent="0.25">
      <c r="A10" t="s">
        <v>297</v>
      </c>
      <c r="B10" t="s">
        <v>307</v>
      </c>
      <c r="C10" t="s">
        <v>15</v>
      </c>
      <c r="D10" t="s">
        <v>79</v>
      </c>
      <c r="E10">
        <v>3</v>
      </c>
      <c r="F10" s="14">
        <f>VALUE(COUNTIF(Patient_Data!V:V,A10))</f>
        <v>0</v>
      </c>
      <c r="G10" t="str">
        <f t="shared" si="0"/>
        <v>Available</v>
      </c>
      <c r="H10">
        <v>14</v>
      </c>
      <c r="I10">
        <v>1500</v>
      </c>
    </row>
    <row r="11" spans="1:9" x14ac:dyDescent="0.25">
      <c r="A11" t="s">
        <v>298</v>
      </c>
      <c r="B11" t="s">
        <v>308</v>
      </c>
      <c r="C11" t="s">
        <v>23</v>
      </c>
      <c r="D11" t="s">
        <v>83</v>
      </c>
      <c r="E11">
        <v>5</v>
      </c>
      <c r="F11" s="14">
        <f>VALUE(COUNTIF(Patient_Data!V:V,A11))</f>
        <v>0</v>
      </c>
      <c r="G11" t="str">
        <f t="shared" si="0"/>
        <v>Available</v>
      </c>
      <c r="H11">
        <v>9</v>
      </c>
      <c r="I11">
        <v>800</v>
      </c>
    </row>
  </sheetData>
  <phoneticPr fontId="4" type="noConversion"/>
  <conditionalFormatting sqref="A2:I11">
    <cfRule type="expression" dxfId="14" priority="1">
      <formula>$G2="Busy"</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5C7FE19E-DCE6-4622-BD0F-E45BBCB5A67F}">
          <x14:formula1>
            <xm:f>Master_Data!$B$2:$B$16</xm:f>
          </x14:formula1>
          <xm:sqref>C2:C11</xm:sqref>
        </x14:dataValidation>
        <x14:dataValidation type="list" allowBlank="1" showInputMessage="1" showErrorMessage="1" xr:uid="{EA76D632-1DDD-4944-8244-785E5D2D4C85}">
          <x14:formula1>
            <xm:f>Master_Data!$K$2:$K$16</xm:f>
          </x14:formula1>
          <xm:sqref>D2:D11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EA68E-7BBB-4333-AEC3-1A4550D8903D}">
  <sheetPr codeName="Sheet4">
    <tabColor theme="9" tint="-0.249977111117893"/>
  </sheetPr>
  <dimension ref="A1:J21"/>
  <sheetViews>
    <sheetView workbookViewId="0">
      <selection activeCell="A19" sqref="A19"/>
    </sheetView>
  </sheetViews>
  <sheetFormatPr defaultRowHeight="15" x14ac:dyDescent="0.25"/>
  <cols>
    <col min="1" max="6" width="20.42578125" customWidth="1"/>
    <col min="7" max="7" width="21.42578125" customWidth="1"/>
    <col min="8" max="8" width="20.42578125" customWidth="1"/>
    <col min="9" max="9" width="20.85546875" customWidth="1"/>
    <col min="10" max="10" width="20.42578125" customWidth="1"/>
  </cols>
  <sheetData>
    <row r="1" spans="1:10" x14ac:dyDescent="0.25">
      <c r="A1" t="s">
        <v>224</v>
      </c>
      <c r="B1" t="s">
        <v>201</v>
      </c>
      <c r="C1" t="s">
        <v>33</v>
      </c>
      <c r="D1" t="s">
        <v>225</v>
      </c>
      <c r="E1" t="s">
        <v>226</v>
      </c>
      <c r="F1" t="s">
        <v>227</v>
      </c>
      <c r="G1" t="s">
        <v>228</v>
      </c>
      <c r="H1" t="s">
        <v>219</v>
      </c>
      <c r="I1" t="s">
        <v>229</v>
      </c>
      <c r="J1" t="s">
        <v>230</v>
      </c>
    </row>
    <row r="2" spans="1:10" x14ac:dyDescent="0.25">
      <c r="A2" t="s">
        <v>231</v>
      </c>
      <c r="B2" t="s">
        <v>3</v>
      </c>
      <c r="C2" t="s">
        <v>35</v>
      </c>
      <c r="D2">
        <v>1</v>
      </c>
      <c r="E2" t="s">
        <v>251</v>
      </c>
      <c r="F2" t="s">
        <v>271</v>
      </c>
      <c r="H2" s="4"/>
      <c r="I2" s="4"/>
    </row>
    <row r="3" spans="1:10" x14ac:dyDescent="0.25">
      <c r="A3" t="s">
        <v>232</v>
      </c>
      <c r="B3" t="s">
        <v>5</v>
      </c>
      <c r="C3" t="s">
        <v>17</v>
      </c>
      <c r="D3">
        <v>2</v>
      </c>
      <c r="E3" t="s">
        <v>254</v>
      </c>
      <c r="F3" t="s">
        <v>272</v>
      </c>
      <c r="G3" t="s">
        <v>154</v>
      </c>
      <c r="H3" s="4">
        <v>46142</v>
      </c>
      <c r="I3" s="4">
        <v>46146</v>
      </c>
    </row>
    <row r="4" spans="1:10" x14ac:dyDescent="0.25">
      <c r="A4" t="s">
        <v>233</v>
      </c>
      <c r="B4" t="s">
        <v>11</v>
      </c>
      <c r="C4" t="s">
        <v>17</v>
      </c>
      <c r="D4">
        <v>3</v>
      </c>
      <c r="E4" t="s">
        <v>255</v>
      </c>
      <c r="F4" t="s">
        <v>272</v>
      </c>
      <c r="G4" t="s">
        <v>158</v>
      </c>
      <c r="H4" s="4">
        <v>46143</v>
      </c>
      <c r="I4" s="4">
        <v>46150</v>
      </c>
    </row>
    <row r="5" spans="1:10" x14ac:dyDescent="0.25">
      <c r="A5" t="s">
        <v>234</v>
      </c>
      <c r="B5" t="s">
        <v>23</v>
      </c>
      <c r="C5" t="s">
        <v>38</v>
      </c>
      <c r="D5">
        <v>1</v>
      </c>
      <c r="E5" t="s">
        <v>252</v>
      </c>
      <c r="F5" t="s">
        <v>271</v>
      </c>
      <c r="H5" s="4"/>
      <c r="I5" s="4"/>
    </row>
    <row r="6" spans="1:10" x14ac:dyDescent="0.25">
      <c r="A6" t="s">
        <v>235</v>
      </c>
      <c r="B6" t="s">
        <v>7</v>
      </c>
      <c r="C6" t="s">
        <v>43</v>
      </c>
      <c r="D6">
        <v>2</v>
      </c>
      <c r="E6" t="s">
        <v>256</v>
      </c>
      <c r="F6" t="s">
        <v>272</v>
      </c>
      <c r="G6" t="s">
        <v>152</v>
      </c>
      <c r="H6" s="4">
        <v>46142</v>
      </c>
      <c r="I6" s="4">
        <v>46148</v>
      </c>
    </row>
    <row r="7" spans="1:10" x14ac:dyDescent="0.25">
      <c r="A7" t="s">
        <v>236</v>
      </c>
      <c r="B7" t="s">
        <v>13</v>
      </c>
      <c r="C7" t="s">
        <v>43</v>
      </c>
      <c r="D7">
        <v>3</v>
      </c>
      <c r="E7" t="s">
        <v>257</v>
      </c>
      <c r="F7" t="s">
        <v>272</v>
      </c>
      <c r="G7" t="s">
        <v>378</v>
      </c>
      <c r="H7" s="4">
        <v>46143</v>
      </c>
      <c r="I7" s="4">
        <v>46149</v>
      </c>
    </row>
    <row r="8" spans="1:10" x14ac:dyDescent="0.25">
      <c r="A8" t="s">
        <v>237</v>
      </c>
      <c r="B8" t="s">
        <v>17</v>
      </c>
      <c r="C8" t="s">
        <v>35</v>
      </c>
      <c r="D8">
        <v>1</v>
      </c>
      <c r="E8" t="s">
        <v>253</v>
      </c>
      <c r="F8" t="s">
        <v>274</v>
      </c>
    </row>
    <row r="9" spans="1:10" x14ac:dyDescent="0.25">
      <c r="A9" t="s">
        <v>238</v>
      </c>
      <c r="B9" t="s">
        <v>19</v>
      </c>
      <c r="C9" t="s">
        <v>17</v>
      </c>
      <c r="D9">
        <v>2</v>
      </c>
      <c r="E9" t="s">
        <v>267</v>
      </c>
      <c r="F9" t="s">
        <v>273</v>
      </c>
    </row>
    <row r="10" spans="1:10" x14ac:dyDescent="0.25">
      <c r="A10" t="s">
        <v>239</v>
      </c>
      <c r="B10" t="s">
        <v>21</v>
      </c>
      <c r="C10" t="s">
        <v>35</v>
      </c>
      <c r="D10">
        <v>3</v>
      </c>
      <c r="E10" t="s">
        <v>258</v>
      </c>
      <c r="F10" t="s">
        <v>271</v>
      </c>
    </row>
    <row r="11" spans="1:10" x14ac:dyDescent="0.25">
      <c r="A11" t="s">
        <v>240</v>
      </c>
      <c r="B11" t="s">
        <v>23</v>
      </c>
      <c r="C11" t="s">
        <v>40</v>
      </c>
      <c r="D11">
        <v>1</v>
      </c>
      <c r="E11" t="s">
        <v>259</v>
      </c>
      <c r="F11" t="s">
        <v>271</v>
      </c>
    </row>
    <row r="12" spans="1:10" x14ac:dyDescent="0.25">
      <c r="A12" t="s">
        <v>241</v>
      </c>
      <c r="B12" t="s">
        <v>25</v>
      </c>
      <c r="C12" t="s">
        <v>19</v>
      </c>
      <c r="D12">
        <v>2</v>
      </c>
      <c r="E12" t="s">
        <v>260</v>
      </c>
      <c r="F12" t="s">
        <v>271</v>
      </c>
    </row>
    <row r="13" spans="1:10" x14ac:dyDescent="0.25">
      <c r="A13" t="s">
        <v>242</v>
      </c>
      <c r="B13" t="s">
        <v>27</v>
      </c>
      <c r="C13" t="s">
        <v>43</v>
      </c>
      <c r="D13">
        <v>3</v>
      </c>
      <c r="E13" t="s">
        <v>261</v>
      </c>
      <c r="F13" t="s">
        <v>274</v>
      </c>
    </row>
    <row r="14" spans="1:10" x14ac:dyDescent="0.25">
      <c r="A14" t="s">
        <v>243</v>
      </c>
      <c r="B14" t="s">
        <v>27</v>
      </c>
      <c r="C14" t="s">
        <v>35</v>
      </c>
      <c r="D14">
        <v>1</v>
      </c>
      <c r="E14" t="s">
        <v>262</v>
      </c>
      <c r="F14" t="s">
        <v>271</v>
      </c>
    </row>
    <row r="15" spans="1:10" x14ac:dyDescent="0.25">
      <c r="A15" t="s">
        <v>244</v>
      </c>
      <c r="B15" t="s">
        <v>11</v>
      </c>
      <c r="C15" t="s">
        <v>35</v>
      </c>
      <c r="D15">
        <v>2</v>
      </c>
      <c r="E15" t="s">
        <v>263</v>
      </c>
      <c r="F15" t="s">
        <v>272</v>
      </c>
      <c r="G15" t="s">
        <v>156</v>
      </c>
      <c r="H15" s="4">
        <v>46143</v>
      </c>
      <c r="I15" s="4">
        <v>46146</v>
      </c>
    </row>
    <row r="16" spans="1:10" x14ac:dyDescent="0.25">
      <c r="A16" t="s">
        <v>245</v>
      </c>
      <c r="B16" t="s">
        <v>31</v>
      </c>
      <c r="C16" t="s">
        <v>38</v>
      </c>
      <c r="D16">
        <v>3</v>
      </c>
      <c r="E16" t="s">
        <v>264</v>
      </c>
      <c r="F16" t="s">
        <v>273</v>
      </c>
    </row>
    <row r="17" spans="1:9" x14ac:dyDescent="0.25">
      <c r="A17" t="s">
        <v>246</v>
      </c>
      <c r="B17" t="s">
        <v>3</v>
      </c>
      <c r="C17" t="s">
        <v>40</v>
      </c>
      <c r="D17">
        <v>1</v>
      </c>
      <c r="E17" t="s">
        <v>265</v>
      </c>
      <c r="F17" t="s">
        <v>271</v>
      </c>
    </row>
    <row r="18" spans="1:9" x14ac:dyDescent="0.25">
      <c r="A18" t="s">
        <v>247</v>
      </c>
      <c r="B18" t="s">
        <v>5</v>
      </c>
      <c r="C18" t="s">
        <v>19</v>
      </c>
      <c r="D18">
        <v>2</v>
      </c>
      <c r="E18" t="s">
        <v>268</v>
      </c>
      <c r="F18" t="s">
        <v>271</v>
      </c>
    </row>
    <row r="19" spans="1:9" x14ac:dyDescent="0.25">
      <c r="A19" t="s">
        <v>248</v>
      </c>
      <c r="B19" t="s">
        <v>7</v>
      </c>
      <c r="C19" t="s">
        <v>19</v>
      </c>
      <c r="D19">
        <v>3</v>
      </c>
      <c r="E19" t="s">
        <v>269</v>
      </c>
      <c r="F19" t="s">
        <v>272</v>
      </c>
      <c r="G19" t="s">
        <v>380</v>
      </c>
      <c r="H19" s="4">
        <v>46144</v>
      </c>
      <c r="I19" s="4">
        <v>46151</v>
      </c>
    </row>
    <row r="20" spans="1:9" x14ac:dyDescent="0.25">
      <c r="A20" t="s">
        <v>249</v>
      </c>
      <c r="B20" t="s">
        <v>9</v>
      </c>
      <c r="C20" t="s">
        <v>35</v>
      </c>
      <c r="D20">
        <v>1</v>
      </c>
      <c r="E20" t="s">
        <v>266</v>
      </c>
      <c r="F20" t="s">
        <v>271</v>
      </c>
    </row>
    <row r="21" spans="1:9" x14ac:dyDescent="0.25">
      <c r="A21" t="s">
        <v>250</v>
      </c>
      <c r="B21" t="s">
        <v>11</v>
      </c>
      <c r="C21" t="s">
        <v>17</v>
      </c>
      <c r="D21">
        <v>2</v>
      </c>
      <c r="E21" t="s">
        <v>270</v>
      </c>
      <c r="F21" t="s">
        <v>271</v>
      </c>
      <c r="H21" s="4"/>
      <c r="I21" s="4"/>
    </row>
  </sheetData>
  <phoneticPr fontId="4" type="noConversion"/>
  <conditionalFormatting sqref="A2:J21">
    <cfRule type="expression" dxfId="13" priority="1">
      <formula>$F2="Reserved"</formula>
    </cfRule>
    <cfRule type="expression" dxfId="12" priority="2">
      <formula>$F2="Occupied"</formula>
    </cfRule>
    <cfRule type="expression" dxfId="11" priority="3">
      <formula>$F2="Available"</formula>
    </cfRule>
  </conditionalFormatting>
  <dataValidations count="2">
    <dataValidation type="list" allowBlank="1" showInputMessage="1" showErrorMessage="1" sqref="F2:F21" xr:uid="{92B98471-204E-426A-AB5B-F3FE520A1442}">
      <formula1>"Available,Occupied,Maintenance,Reserved"</formula1>
    </dataValidation>
    <dataValidation type="list" allowBlank="1" showInputMessage="1" showErrorMessage="1" sqref="J2:J21" xr:uid="{32B8525F-4FC1-473E-8ADB-F60F6DCBC035}">
      <formula1>"Yes,No"</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F77AAF31-EE06-46F0-82FF-D441BC9B6696}">
          <x14:formula1>
            <xm:f>Master_Data!$B$2:$B$16</xm:f>
          </x14:formula1>
          <xm:sqref>B2:B21</xm:sqref>
        </x14:dataValidation>
        <x14:dataValidation type="list" allowBlank="1" showInputMessage="1" showErrorMessage="1" xr:uid="{E172ED2C-C6D3-4419-A548-ABB478801945}">
          <x14:formula1>
            <xm:f>Master_Data!$E$2:$E$7</xm:f>
          </x14:formula1>
          <xm:sqref>C2:C21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8D139-1737-4706-AA11-407B3AA1C6C9}">
  <sheetPr>
    <tabColor theme="9" tint="-0.249977111117893"/>
  </sheetPr>
  <dimension ref="A1:S11"/>
  <sheetViews>
    <sheetView topLeftCell="B1" workbookViewId="0">
      <selection activeCell="Q2" sqref="Q2"/>
    </sheetView>
  </sheetViews>
  <sheetFormatPr defaultRowHeight="15" x14ac:dyDescent="0.25"/>
  <cols>
    <col min="1" max="1" width="14.85546875" customWidth="1"/>
    <col min="2" max="2" width="16.42578125" customWidth="1"/>
    <col min="3" max="3" width="13" customWidth="1"/>
    <col min="5" max="5" width="18" bestFit="1" customWidth="1"/>
    <col min="6" max="6" width="11.42578125" customWidth="1"/>
    <col min="7" max="7" width="16.28515625" customWidth="1"/>
    <col min="9" max="9" width="25.140625" bestFit="1" customWidth="1"/>
    <col min="10" max="10" width="12.140625" customWidth="1"/>
    <col min="11" max="11" width="11.140625" customWidth="1"/>
    <col min="13" max="13" width="17" bestFit="1" customWidth="1"/>
    <col min="14" max="14" width="10.5703125" customWidth="1"/>
    <col min="15" max="15" width="8.85546875" customWidth="1"/>
    <col min="17" max="17" width="19.85546875" bestFit="1" customWidth="1"/>
    <col min="18" max="18" width="18.7109375" customWidth="1"/>
    <col min="19" max="19" width="14" customWidth="1"/>
  </cols>
  <sheetData>
    <row r="1" spans="1:19" x14ac:dyDescent="0.25">
      <c r="A1" t="s">
        <v>33</v>
      </c>
      <c r="B1" t="s">
        <v>329</v>
      </c>
      <c r="C1" t="s">
        <v>330</v>
      </c>
      <c r="E1" t="s">
        <v>331</v>
      </c>
      <c r="F1" t="s">
        <v>332</v>
      </c>
      <c r="G1" t="s">
        <v>333</v>
      </c>
      <c r="I1" t="s">
        <v>342</v>
      </c>
      <c r="J1" t="s">
        <v>332</v>
      </c>
      <c r="K1" t="s">
        <v>343</v>
      </c>
      <c r="M1" t="s">
        <v>349</v>
      </c>
      <c r="N1" t="s">
        <v>332</v>
      </c>
      <c r="O1" t="s">
        <v>343</v>
      </c>
      <c r="Q1" t="s">
        <v>59</v>
      </c>
      <c r="R1" t="s">
        <v>286</v>
      </c>
      <c r="S1" t="s">
        <v>333</v>
      </c>
    </row>
    <row r="2" spans="1:19" x14ac:dyDescent="0.25">
      <c r="A2" t="s">
        <v>35</v>
      </c>
      <c r="B2">
        <v>2000</v>
      </c>
      <c r="C2">
        <v>5000</v>
      </c>
      <c r="E2" t="s">
        <v>334</v>
      </c>
      <c r="F2">
        <v>3000</v>
      </c>
      <c r="G2" t="s">
        <v>340</v>
      </c>
      <c r="I2" s="2" t="s">
        <v>344</v>
      </c>
      <c r="J2" s="1">
        <v>2000</v>
      </c>
      <c r="K2" s="1" t="s">
        <v>341</v>
      </c>
      <c r="M2" s="2" t="s">
        <v>350</v>
      </c>
      <c r="N2" s="2">
        <v>500</v>
      </c>
      <c r="O2" s="2" t="s">
        <v>341</v>
      </c>
      <c r="Q2" s="2" t="s">
        <v>71</v>
      </c>
      <c r="R2" s="2">
        <v>500</v>
      </c>
      <c r="S2" s="2" t="s">
        <v>357</v>
      </c>
    </row>
    <row r="3" spans="1:19" x14ac:dyDescent="0.25">
      <c r="A3" t="s">
        <v>40</v>
      </c>
      <c r="B3">
        <v>4000</v>
      </c>
      <c r="C3">
        <v>10000</v>
      </c>
      <c r="E3" t="s">
        <v>335</v>
      </c>
      <c r="F3">
        <v>5000</v>
      </c>
      <c r="G3" t="s">
        <v>340</v>
      </c>
      <c r="I3" s="1" t="s">
        <v>345</v>
      </c>
      <c r="J3" s="1">
        <v>1500</v>
      </c>
      <c r="K3" s="1" t="s">
        <v>341</v>
      </c>
      <c r="M3" s="2" t="s">
        <v>351</v>
      </c>
      <c r="N3" s="2">
        <v>200</v>
      </c>
      <c r="O3" s="2" t="s">
        <v>341</v>
      </c>
      <c r="Q3" s="2" t="s">
        <v>61</v>
      </c>
      <c r="R3" s="2">
        <v>1500</v>
      </c>
      <c r="S3" s="2" t="s">
        <v>357</v>
      </c>
    </row>
    <row r="4" spans="1:19" x14ac:dyDescent="0.25">
      <c r="A4" t="s">
        <v>38</v>
      </c>
      <c r="B4">
        <v>3000</v>
      </c>
      <c r="C4">
        <v>7000</v>
      </c>
      <c r="E4" t="s">
        <v>336</v>
      </c>
      <c r="F4">
        <v>1500</v>
      </c>
      <c r="G4" t="s">
        <v>340</v>
      </c>
      <c r="I4" s="1" t="s">
        <v>346</v>
      </c>
      <c r="J4" s="1">
        <v>3000</v>
      </c>
      <c r="K4" s="1" t="s">
        <v>341</v>
      </c>
      <c r="M4" s="2" t="s">
        <v>352</v>
      </c>
      <c r="N4" s="2">
        <v>800</v>
      </c>
      <c r="O4" s="2" t="s">
        <v>340</v>
      </c>
      <c r="Q4" s="2" t="s">
        <v>63</v>
      </c>
      <c r="R4" s="2">
        <v>1800</v>
      </c>
      <c r="S4" s="2" t="s">
        <v>357</v>
      </c>
    </row>
    <row r="5" spans="1:19" x14ac:dyDescent="0.25">
      <c r="A5" t="s">
        <v>17</v>
      </c>
      <c r="B5">
        <v>8000</v>
      </c>
      <c r="C5">
        <v>20000</v>
      </c>
      <c r="E5" t="s">
        <v>337</v>
      </c>
      <c r="F5">
        <v>2500</v>
      </c>
      <c r="G5" t="s">
        <v>341</v>
      </c>
      <c r="I5" s="2" t="s">
        <v>347</v>
      </c>
      <c r="J5" s="1">
        <v>5000</v>
      </c>
      <c r="K5" s="1" t="s">
        <v>341</v>
      </c>
      <c r="M5" s="2" t="s">
        <v>353</v>
      </c>
      <c r="N5" s="2">
        <v>300</v>
      </c>
      <c r="O5" s="2" t="s">
        <v>341</v>
      </c>
      <c r="Q5" s="2" t="s">
        <v>65</v>
      </c>
      <c r="R5" s="2">
        <v>1200</v>
      </c>
      <c r="S5" s="2" t="s">
        <v>357</v>
      </c>
    </row>
    <row r="6" spans="1:19" x14ac:dyDescent="0.25">
      <c r="A6" t="s">
        <v>43</v>
      </c>
      <c r="B6">
        <v>12000</v>
      </c>
      <c r="C6">
        <v>30000</v>
      </c>
      <c r="E6" t="s">
        <v>338</v>
      </c>
      <c r="F6">
        <v>3500</v>
      </c>
      <c r="G6" t="s">
        <v>340</v>
      </c>
      <c r="I6" s="2" t="s">
        <v>348</v>
      </c>
      <c r="J6" s="1">
        <v>4000</v>
      </c>
      <c r="K6" s="1" t="s">
        <v>341</v>
      </c>
      <c r="M6" s="2" t="s">
        <v>354</v>
      </c>
      <c r="N6" s="2">
        <v>250</v>
      </c>
      <c r="O6" s="2" t="s">
        <v>341</v>
      </c>
      <c r="Q6" s="2" t="s">
        <v>69</v>
      </c>
      <c r="R6" s="2">
        <v>2500</v>
      </c>
      <c r="S6" s="2" t="s">
        <v>357</v>
      </c>
    </row>
    <row r="7" spans="1:19" x14ac:dyDescent="0.25">
      <c r="E7" t="s">
        <v>339</v>
      </c>
      <c r="F7">
        <v>4000</v>
      </c>
      <c r="G7" t="s">
        <v>340</v>
      </c>
      <c r="M7" s="2" t="s">
        <v>355</v>
      </c>
      <c r="N7" s="2">
        <v>400</v>
      </c>
      <c r="O7" s="2" t="s">
        <v>340</v>
      </c>
      <c r="Q7" s="2" t="s">
        <v>67</v>
      </c>
      <c r="R7" s="2">
        <v>1000</v>
      </c>
      <c r="S7" s="2" t="s">
        <v>357</v>
      </c>
    </row>
    <row r="8" spans="1:19" x14ac:dyDescent="0.25">
      <c r="M8" s="2" t="s">
        <v>356</v>
      </c>
      <c r="N8" s="2">
        <v>150</v>
      </c>
      <c r="O8" s="2" t="s">
        <v>341</v>
      </c>
      <c r="Q8" s="2" t="s">
        <v>89</v>
      </c>
      <c r="R8" s="2">
        <v>2000</v>
      </c>
      <c r="S8" s="2" t="s">
        <v>357</v>
      </c>
    </row>
    <row r="9" spans="1:19" x14ac:dyDescent="0.25">
      <c r="Q9" s="2" t="s">
        <v>75</v>
      </c>
      <c r="R9" s="2">
        <v>800</v>
      </c>
      <c r="S9" s="2" t="s">
        <v>357</v>
      </c>
    </row>
    <row r="10" spans="1:19" x14ac:dyDescent="0.25">
      <c r="Q10" s="2" t="s">
        <v>79</v>
      </c>
      <c r="R10" s="2">
        <v>2200</v>
      </c>
      <c r="S10" s="2" t="s">
        <v>357</v>
      </c>
    </row>
    <row r="11" spans="1:19" x14ac:dyDescent="0.25">
      <c r="Q11" s="2" t="s">
        <v>83</v>
      </c>
      <c r="R11" s="2">
        <v>1300</v>
      </c>
      <c r="S11" s="2" t="s">
        <v>357</v>
      </c>
    </row>
  </sheetData>
  <pageMargins left="0.7" right="0.7" top="0.75" bottom="0.75" header="0.3" footer="0.3"/>
  <tableParts count="5">
    <tablePart r:id="rId1"/>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989E0-6DA7-4869-B334-86F255B1039E}">
  <sheetPr>
    <tabColor theme="9" tint="-0.249977111117893"/>
  </sheetPr>
  <dimension ref="A1:F9"/>
  <sheetViews>
    <sheetView workbookViewId="0">
      <selection activeCell="D18" sqref="D18:E18"/>
    </sheetView>
  </sheetViews>
  <sheetFormatPr defaultRowHeight="15" x14ac:dyDescent="0.25"/>
  <cols>
    <col min="1" max="1" width="20.28515625" customWidth="1"/>
    <col min="2" max="2" width="22.42578125" style="15" customWidth="1"/>
    <col min="3" max="3" width="21.140625" style="17" customWidth="1"/>
    <col min="4" max="4" width="18.28515625" customWidth="1"/>
    <col min="5" max="5" width="18.85546875" style="17" customWidth="1"/>
    <col min="6" max="6" width="15.5703125" customWidth="1"/>
  </cols>
  <sheetData>
    <row r="1" spans="1:6" x14ac:dyDescent="0.25">
      <c r="A1" t="s">
        <v>133</v>
      </c>
      <c r="B1" s="15" t="s">
        <v>358</v>
      </c>
      <c r="C1" s="17" t="s">
        <v>359</v>
      </c>
      <c r="D1" t="s">
        <v>360</v>
      </c>
      <c r="E1" s="17" t="s">
        <v>361</v>
      </c>
      <c r="F1" t="s">
        <v>362</v>
      </c>
    </row>
    <row r="2" spans="1:6" x14ac:dyDescent="0.25">
      <c r="A2" s="2" t="s">
        <v>135</v>
      </c>
      <c r="B2" s="16">
        <v>0.8</v>
      </c>
      <c r="C2" s="18">
        <v>500000</v>
      </c>
      <c r="D2" s="2" t="s">
        <v>278</v>
      </c>
      <c r="E2" s="18">
        <v>5000</v>
      </c>
      <c r="F2" s="2" t="s">
        <v>278</v>
      </c>
    </row>
    <row r="3" spans="1:6" x14ac:dyDescent="0.25">
      <c r="A3" s="2" t="s">
        <v>137</v>
      </c>
      <c r="B3" s="16">
        <v>0.9</v>
      </c>
      <c r="C3" s="18">
        <v>1000000</v>
      </c>
      <c r="D3" s="2" t="s">
        <v>278</v>
      </c>
      <c r="E3" s="18">
        <v>8000</v>
      </c>
      <c r="F3" s="2" t="s">
        <v>278</v>
      </c>
    </row>
    <row r="4" spans="1:6" x14ac:dyDescent="0.25">
      <c r="A4" s="2" t="s">
        <v>139</v>
      </c>
      <c r="B4" s="16">
        <v>0.75</v>
      </c>
      <c r="C4" s="18">
        <v>300000</v>
      </c>
      <c r="D4" s="2" t="s">
        <v>278</v>
      </c>
      <c r="E4" s="18">
        <v>4000</v>
      </c>
      <c r="F4" s="2" t="s">
        <v>363</v>
      </c>
    </row>
    <row r="5" spans="1:6" x14ac:dyDescent="0.25">
      <c r="A5" s="2" t="s">
        <v>141</v>
      </c>
      <c r="B5" s="16">
        <v>0.85</v>
      </c>
      <c r="C5" s="18">
        <v>700000</v>
      </c>
      <c r="D5" s="2" t="s">
        <v>278</v>
      </c>
      <c r="E5" s="18">
        <v>6000</v>
      </c>
      <c r="F5" s="2" t="s">
        <v>278</v>
      </c>
    </row>
    <row r="6" spans="1:6" x14ac:dyDescent="0.25">
      <c r="A6" s="2" t="s">
        <v>143</v>
      </c>
      <c r="B6" s="16">
        <v>0.7</v>
      </c>
      <c r="C6" s="18">
        <v>250000</v>
      </c>
      <c r="D6" s="2" t="s">
        <v>363</v>
      </c>
      <c r="E6" s="18">
        <v>3500</v>
      </c>
      <c r="F6" s="2" t="s">
        <v>363</v>
      </c>
    </row>
    <row r="7" spans="1:6" x14ac:dyDescent="0.25">
      <c r="A7" s="2" t="s">
        <v>145</v>
      </c>
      <c r="B7" s="16">
        <v>0.95</v>
      </c>
      <c r="C7" s="18">
        <v>1200000</v>
      </c>
      <c r="D7" s="2" t="s">
        <v>278</v>
      </c>
      <c r="E7" s="18">
        <v>10000</v>
      </c>
      <c r="F7" s="2" t="s">
        <v>278</v>
      </c>
    </row>
    <row r="8" spans="1:6" x14ac:dyDescent="0.25">
      <c r="A8" s="2" t="s">
        <v>147</v>
      </c>
      <c r="B8" s="16">
        <v>0.65</v>
      </c>
      <c r="C8" s="18">
        <v>200000</v>
      </c>
      <c r="D8" s="2" t="s">
        <v>363</v>
      </c>
      <c r="E8" s="18">
        <v>3000</v>
      </c>
      <c r="F8" s="2" t="s">
        <v>363</v>
      </c>
    </row>
    <row r="9" spans="1:6" x14ac:dyDescent="0.25">
      <c r="A9" s="2" t="s">
        <v>149</v>
      </c>
      <c r="B9" s="16">
        <v>0.8</v>
      </c>
      <c r="C9" s="18">
        <v>600000</v>
      </c>
      <c r="D9" s="2" t="s">
        <v>278</v>
      </c>
      <c r="E9" s="18">
        <v>5500</v>
      </c>
      <c r="F9" s="2" t="s">
        <v>278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9BE6C-499B-4E84-80AB-3B7B529B5AB2}">
  <sheetPr codeName="Sheet2"/>
  <dimension ref="B2:I18"/>
  <sheetViews>
    <sheetView zoomScale="106" zoomScaleNormal="106" workbookViewId="0">
      <selection activeCell="D18" sqref="D18:E18"/>
    </sheetView>
  </sheetViews>
  <sheetFormatPr defaultRowHeight="15" x14ac:dyDescent="0.25"/>
  <cols>
    <col min="1" max="2" width="9.140625" style="3"/>
    <col min="3" max="3" width="13.42578125" style="3" customWidth="1"/>
    <col min="4" max="8" width="9.140625" style="3"/>
    <col min="9" max="9" width="18.28515625" style="3" customWidth="1"/>
    <col min="10" max="16384" width="9.140625" style="3"/>
  </cols>
  <sheetData>
    <row r="2" spans="2:9" x14ac:dyDescent="0.25">
      <c r="B2" s="29" t="s">
        <v>194</v>
      </c>
      <c r="C2" s="29"/>
      <c r="D2" s="29"/>
      <c r="E2" s="29"/>
      <c r="F2" s="29"/>
      <c r="G2" s="29"/>
      <c r="H2" s="29"/>
      <c r="I2" s="29"/>
    </row>
    <row r="3" spans="2:9" x14ac:dyDescent="0.25">
      <c r="B3" s="29"/>
      <c r="C3" s="29"/>
      <c r="D3" s="29"/>
      <c r="E3" s="29"/>
      <c r="F3" s="29"/>
      <c r="G3" s="29"/>
      <c r="H3" s="29"/>
      <c r="I3" s="29"/>
    </row>
    <row r="4" spans="2:9" x14ac:dyDescent="0.25">
      <c r="B4" s="27" t="s">
        <v>208</v>
      </c>
      <c r="C4" s="27"/>
      <c r="D4" s="27"/>
      <c r="E4" s="27"/>
      <c r="G4" s="27" t="s">
        <v>209</v>
      </c>
      <c r="H4" s="27"/>
      <c r="I4" s="27"/>
    </row>
    <row r="5" spans="2:9" x14ac:dyDescent="0.25">
      <c r="B5" s="28" t="s">
        <v>195</v>
      </c>
      <c r="C5" s="28"/>
      <c r="D5" s="30" t="s">
        <v>223</v>
      </c>
      <c r="E5" s="30"/>
    </row>
    <row r="6" spans="2:9" x14ac:dyDescent="0.25">
      <c r="B6" s="28" t="s">
        <v>196</v>
      </c>
      <c r="C6" s="28"/>
      <c r="D6" s="28"/>
      <c r="E6" s="28"/>
      <c r="G6" s="28" t="s">
        <v>201</v>
      </c>
      <c r="H6" s="28"/>
    </row>
    <row r="7" spans="2:9" x14ac:dyDescent="0.25">
      <c r="B7" s="28" t="s">
        <v>169</v>
      </c>
      <c r="C7" s="28"/>
      <c r="D7" s="28"/>
      <c r="E7" s="28"/>
      <c r="G7" s="28" t="s">
        <v>202</v>
      </c>
      <c r="H7" s="28"/>
    </row>
    <row r="8" spans="2:9" x14ac:dyDescent="0.25">
      <c r="B8" s="28" t="s">
        <v>197</v>
      </c>
      <c r="C8" s="28"/>
      <c r="D8" s="31"/>
      <c r="E8" s="31"/>
      <c r="G8" s="28" t="s">
        <v>203</v>
      </c>
      <c r="H8" s="28"/>
    </row>
    <row r="9" spans="2:9" x14ac:dyDescent="0.25">
      <c r="B9" s="28" t="s">
        <v>198</v>
      </c>
      <c r="C9" s="28"/>
      <c r="D9" s="32" t="str">
        <f ca="1">IF(D8="","",DATEDIF(D8,TODAY(),"Y"))</f>
        <v/>
      </c>
      <c r="E9" s="32"/>
      <c r="G9" s="28" t="s">
        <v>204</v>
      </c>
      <c r="H9" s="28"/>
    </row>
    <row r="10" spans="2:9" x14ac:dyDescent="0.25">
      <c r="B10" s="28" t="s">
        <v>199</v>
      </c>
      <c r="C10" s="28"/>
      <c r="D10" s="28"/>
      <c r="E10" s="28"/>
      <c r="G10" s="28" t="s">
        <v>205</v>
      </c>
      <c r="H10" s="28"/>
    </row>
    <row r="11" spans="2:9" x14ac:dyDescent="0.25">
      <c r="B11" s="28" t="s">
        <v>200</v>
      </c>
      <c r="C11" s="28"/>
      <c r="D11" s="28"/>
      <c r="E11" s="28"/>
      <c r="G11" s="28" t="s">
        <v>206</v>
      </c>
      <c r="H11" s="28"/>
    </row>
    <row r="12" spans="2:9" x14ac:dyDescent="0.25">
      <c r="B12" s="28" t="s">
        <v>91</v>
      </c>
      <c r="C12" s="28"/>
      <c r="D12" s="28"/>
      <c r="E12" s="28"/>
      <c r="G12" s="28" t="s">
        <v>207</v>
      </c>
      <c r="H12" s="28"/>
    </row>
    <row r="14" spans="2:9" x14ac:dyDescent="0.25">
      <c r="B14" s="27" t="s">
        <v>210</v>
      </c>
      <c r="C14" s="27"/>
      <c r="D14" s="27"/>
      <c r="E14" s="27"/>
    </row>
    <row r="15" spans="2:9" x14ac:dyDescent="0.25">
      <c r="B15" s="28" t="s">
        <v>211</v>
      </c>
      <c r="C15" s="28"/>
      <c r="D15" s="31"/>
      <c r="E15" s="31"/>
    </row>
    <row r="16" spans="2:9" x14ac:dyDescent="0.25">
      <c r="B16" s="28" t="s">
        <v>212</v>
      </c>
      <c r="C16" s="28"/>
      <c r="D16" s="28"/>
      <c r="E16" s="28"/>
    </row>
    <row r="17" spans="2:5" x14ac:dyDescent="0.25">
      <c r="B17" s="28" t="s">
        <v>213</v>
      </c>
      <c r="C17" s="28"/>
      <c r="D17" s="32" t="str">
        <f>IF(OR(I10="Emergency",I10="Ambulance"),"Yes","")</f>
        <v/>
      </c>
      <c r="E17" s="32"/>
    </row>
    <row r="18" spans="2:5" x14ac:dyDescent="0.25">
      <c r="B18" s="28" t="s">
        <v>214</v>
      </c>
      <c r="C18" s="28"/>
      <c r="D18" s="28"/>
      <c r="E18" s="28"/>
    </row>
  </sheetData>
  <sheetProtection sheet="1" objects="1" scenarios="1"/>
  <mergeCells count="35">
    <mergeCell ref="B8:C8"/>
    <mergeCell ref="B9:C9"/>
    <mergeCell ref="B10:C10"/>
    <mergeCell ref="B11:C11"/>
    <mergeCell ref="B12:C12"/>
    <mergeCell ref="B14:E14"/>
    <mergeCell ref="B15:C15"/>
    <mergeCell ref="B16:C16"/>
    <mergeCell ref="B17:C17"/>
    <mergeCell ref="B18:C18"/>
    <mergeCell ref="D15:E15"/>
    <mergeCell ref="D16:E16"/>
    <mergeCell ref="D17:E17"/>
    <mergeCell ref="D18:E18"/>
    <mergeCell ref="G11:H11"/>
    <mergeCell ref="G12:H12"/>
    <mergeCell ref="D10:E10"/>
    <mergeCell ref="D11:E11"/>
    <mergeCell ref="D12:E12"/>
    <mergeCell ref="D8:E8"/>
    <mergeCell ref="D9:E9"/>
    <mergeCell ref="G8:H8"/>
    <mergeCell ref="G9:H9"/>
    <mergeCell ref="G10:H10"/>
    <mergeCell ref="B4:E4"/>
    <mergeCell ref="G4:I4"/>
    <mergeCell ref="G6:H6"/>
    <mergeCell ref="G7:H7"/>
    <mergeCell ref="B2:I3"/>
    <mergeCell ref="B5:C5"/>
    <mergeCell ref="B6:C6"/>
    <mergeCell ref="B7:C7"/>
    <mergeCell ref="D5:E5"/>
    <mergeCell ref="D6:E6"/>
    <mergeCell ref="D7:E7"/>
  </mergeCells>
  <dataValidations count="5">
    <dataValidation allowBlank="1" showInputMessage="1" showErrorMessage="1" promptTitle="DOB Format" prompt="Enter DOB in DD-MM-YYYY format" sqref="D8:E8" xr:uid="{681652FC-8274-4C75-9232-E394F7ADD6E1}"/>
    <dataValidation type="custom" allowBlank="1" showInputMessage="1" showErrorMessage="1" promptTitle="Invalid Contact Number" prompt="Please enter a valid 10-digit number only" sqref="D11:E11" xr:uid="{E11E269F-7740-44CD-A008-4365BCB91368}">
      <formula1>AND(ISNUMBER(D11),LEN(D11)=10)</formula1>
    </dataValidation>
    <dataValidation type="date" allowBlank="1" showInputMessage="1" showErrorMessage="1" promptTitle="Admission Date" prompt="Select valid admission date" sqref="D15:E15" xr:uid="{54B0C635-F1D4-4E9F-9444-453F68D69823}">
      <formula1>18264</formula1>
      <formula2>46387</formula2>
    </dataValidation>
    <dataValidation type="whole" allowBlank="1" showInputMessage="1" showErrorMessage="1" sqref="D16:E16" xr:uid="{A0CDC9AF-A524-47DA-AF4E-93F08E6FF869}">
      <formula1>1</formula1>
      <formula2>365</formula2>
    </dataValidation>
    <dataValidation type="list" allowBlank="1" showInputMessage="1" showErrorMessage="1" sqref="D18:E18" xr:uid="{DACEC09E-86E9-4DC1-ACAD-4A9F7C280874}">
      <formula1>"Yes,No"</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0">
        <x14:dataValidation type="list" allowBlank="1" showInputMessage="1" showErrorMessage="1" xr:uid="{74D62F65-BF13-4F5D-A47E-B88C0CDA157B}">
          <x14:formula1>
            <xm:f>Master_Data!$Z$2:$Z$4</xm:f>
          </x14:formula1>
          <xm:sqref>D7:E7</xm:sqref>
        </x14:dataValidation>
        <x14:dataValidation type="list" allowBlank="1" showInputMessage="1" showErrorMessage="1" xr:uid="{30E3EEBF-DFAB-452F-8738-20820D1482A1}">
          <x14:formula1>
            <xm:f>Master_Data!$AC$2:$AC$9</xm:f>
          </x14:formula1>
          <xm:sqref>D10:E10</xm:sqref>
        </x14:dataValidation>
        <x14:dataValidation type="list" allowBlank="1" showInputMessage="1" showErrorMessage="1" xr:uid="{27E7DBEE-A3C7-4409-AA51-24D7E17BD12C}">
          <x14:formula1>
            <xm:f>Master_Data!$N$2:$N$21</xm:f>
          </x14:formula1>
          <xm:sqref>D12:E12</xm:sqref>
        </x14:dataValidation>
        <x14:dataValidation type="list" allowBlank="1" showInputMessage="1" showErrorMessage="1" xr:uid="{1C1DBC20-12A2-4448-B6ED-D026714E4019}">
          <x14:formula1>
            <xm:f>Master_Data!$B$2:$B$16</xm:f>
          </x14:formula1>
          <xm:sqref>I6</xm:sqref>
        </x14:dataValidation>
        <x14:dataValidation type="list" allowBlank="1" showInputMessage="1" showErrorMessage="1" xr:uid="{3E852AAB-C550-469B-B3AF-940332AAD2DA}">
          <x14:formula1>
            <xm:f>Master_Data!$K$2:$K$16</xm:f>
          </x14:formula1>
          <xm:sqref>I7</xm:sqref>
        </x14:dataValidation>
        <x14:dataValidation type="list" allowBlank="1" showInputMessage="1" showErrorMessage="1" xr:uid="{5AEBC945-8618-4CE7-8CEB-B938EC27A374}">
          <x14:formula1>
            <xm:f>Master_Data!$H$2:$H$7</xm:f>
          </x14:formula1>
          <xm:sqref>I8</xm:sqref>
        </x14:dataValidation>
        <x14:dataValidation type="list" allowBlank="1" showInputMessage="1" showErrorMessage="1" xr:uid="{0602675F-0182-45EC-8F52-AC3B00721037}">
          <x14:formula1>
            <xm:f>Master_Data!$T$2:$T$5</xm:f>
          </x14:formula1>
          <xm:sqref>I9</xm:sqref>
        </x14:dataValidation>
        <x14:dataValidation type="list" allowBlank="1" showInputMessage="1" showErrorMessage="1" xr:uid="{714C0E73-9A05-4141-A37F-CB4E4F1D7FCE}">
          <x14:formula1>
            <xm:f>Master_Data!$W$2:$W$5</xm:f>
          </x14:formula1>
          <xm:sqref>I10</xm:sqref>
        </x14:dataValidation>
        <x14:dataValidation type="list" allowBlank="1" showInputMessage="1" showErrorMessage="1" xr:uid="{B6ACCB28-1F8B-4372-BF55-B93E2B2C5671}">
          <x14:formula1>
            <xm:f>Master_Data!$Q$2:$Q$9</xm:f>
          </x14:formula1>
          <xm:sqref>I11</xm:sqref>
        </x14:dataValidation>
        <x14:dataValidation type="list" allowBlank="1" showInputMessage="1" showErrorMessage="1" xr:uid="{28BDE413-3547-4C05-B7AE-D3B5D111B9A9}">
          <x14:formula1>
            <xm:f>Master_Data!$E$2:$E$7</xm:f>
          </x14:formula1>
          <xm:sqref>I12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A7DA1-AF26-45FC-946C-D4E82391482F}">
  <sheetPr codeName="Sheet3"/>
  <dimension ref="A1:W7"/>
  <sheetViews>
    <sheetView tabSelected="1" workbookViewId="0">
      <selection activeCell="B7" sqref="B7"/>
    </sheetView>
  </sheetViews>
  <sheetFormatPr defaultRowHeight="15" x14ac:dyDescent="0.25"/>
  <cols>
    <col min="1" max="1" width="12.42578125" customWidth="1"/>
    <col min="2" max="2" width="15.85546875" customWidth="1"/>
    <col min="3" max="3" width="9.85546875" customWidth="1"/>
    <col min="4" max="4" width="15" customWidth="1"/>
    <col min="5" max="5" width="11.7109375" customWidth="1"/>
    <col min="6" max="6" width="14.85546875" customWidth="1"/>
    <col min="7" max="7" width="23.28515625" customWidth="1"/>
    <col min="8" max="8" width="16.42578125" customWidth="1"/>
    <col min="9" max="9" width="18.42578125" customWidth="1"/>
    <col min="10" max="10" width="24.28515625" customWidth="1"/>
    <col min="11" max="11" width="23.28515625" customWidth="1"/>
    <col min="12" max="12" width="15.42578125" customWidth="1"/>
    <col min="13" max="13" width="17.7109375" customWidth="1"/>
    <col min="14" max="14" width="17" customWidth="1"/>
    <col min="15" max="15" width="11.85546875" customWidth="1"/>
    <col min="16" max="16" width="17.5703125" customWidth="1"/>
    <col min="17" max="17" width="21.140625" customWidth="1"/>
    <col min="18" max="18" width="18" customWidth="1"/>
    <col min="19" max="19" width="15.42578125" customWidth="1"/>
    <col min="20" max="20" width="19.140625" bestFit="1" customWidth="1"/>
    <col min="21" max="21" width="18.85546875" bestFit="1" customWidth="1"/>
    <col min="22" max="22" width="21.28515625" bestFit="1" customWidth="1"/>
    <col min="23" max="23" width="24.85546875" bestFit="1" customWidth="1"/>
  </cols>
  <sheetData>
    <row r="1" spans="1:23" x14ac:dyDescent="0.25">
      <c r="A1" t="s">
        <v>215</v>
      </c>
      <c r="B1" t="s">
        <v>216</v>
      </c>
      <c r="C1" t="s">
        <v>169</v>
      </c>
      <c r="D1" t="s">
        <v>197</v>
      </c>
      <c r="E1" t="s">
        <v>198</v>
      </c>
      <c r="F1" t="s">
        <v>177</v>
      </c>
      <c r="G1" t="s">
        <v>217</v>
      </c>
      <c r="H1" t="s">
        <v>91</v>
      </c>
      <c r="I1" t="s">
        <v>201</v>
      </c>
      <c r="J1" t="s">
        <v>218</v>
      </c>
      <c r="K1" t="s">
        <v>45</v>
      </c>
      <c r="L1" t="s">
        <v>151</v>
      </c>
      <c r="M1" t="s">
        <v>160</v>
      </c>
      <c r="N1" t="s">
        <v>133</v>
      </c>
      <c r="O1" t="s">
        <v>33</v>
      </c>
      <c r="P1" t="s">
        <v>219</v>
      </c>
      <c r="Q1" t="s">
        <v>220</v>
      </c>
      <c r="R1" t="s">
        <v>221</v>
      </c>
      <c r="S1" t="s">
        <v>222</v>
      </c>
      <c r="T1" t="s">
        <v>276</v>
      </c>
      <c r="U1" t="s">
        <v>277</v>
      </c>
      <c r="V1" t="s">
        <v>287</v>
      </c>
      <c r="W1" t="s">
        <v>288</v>
      </c>
    </row>
    <row r="2" spans="1:23" x14ac:dyDescent="0.25">
      <c r="A2" t="s">
        <v>152</v>
      </c>
      <c r="B2" t="s">
        <v>309</v>
      </c>
      <c r="C2" t="s">
        <v>171</v>
      </c>
      <c r="D2" s="4">
        <v>32249</v>
      </c>
      <c r="E2">
        <v>38</v>
      </c>
      <c r="F2" t="s">
        <v>183</v>
      </c>
      <c r="G2">
        <v>7568559550</v>
      </c>
      <c r="H2" t="s">
        <v>95</v>
      </c>
      <c r="I2" t="s">
        <v>7</v>
      </c>
      <c r="J2" t="s">
        <v>63</v>
      </c>
      <c r="K2" t="s">
        <v>49</v>
      </c>
      <c r="L2" t="s">
        <v>155</v>
      </c>
      <c r="M2" t="s">
        <v>19</v>
      </c>
      <c r="N2" t="s">
        <v>137</v>
      </c>
      <c r="O2" t="s">
        <v>43</v>
      </c>
      <c r="P2" s="4">
        <v>46142</v>
      </c>
      <c r="Q2">
        <v>6</v>
      </c>
      <c r="R2" t="s">
        <v>278</v>
      </c>
      <c r="S2" t="s">
        <v>278</v>
      </c>
      <c r="T2" t="s">
        <v>235</v>
      </c>
      <c r="U2" t="s">
        <v>279</v>
      </c>
      <c r="V2" t="s">
        <v>291</v>
      </c>
      <c r="W2" t="s">
        <v>301</v>
      </c>
    </row>
    <row r="3" spans="1:23" x14ac:dyDescent="0.25">
      <c r="A3" t="s">
        <v>154</v>
      </c>
      <c r="B3" t="s">
        <v>325</v>
      </c>
      <c r="C3" t="s">
        <v>171</v>
      </c>
      <c r="D3" s="4">
        <v>34865</v>
      </c>
      <c r="E3">
        <v>30</v>
      </c>
      <c r="F3" t="s">
        <v>183</v>
      </c>
      <c r="G3">
        <v>9685741234</v>
      </c>
      <c r="H3" t="s">
        <v>101</v>
      </c>
      <c r="I3" t="s">
        <v>5</v>
      </c>
      <c r="J3" t="s">
        <v>61</v>
      </c>
      <c r="K3" t="s">
        <v>51</v>
      </c>
      <c r="L3" t="s">
        <v>155</v>
      </c>
      <c r="M3" t="s">
        <v>19</v>
      </c>
      <c r="N3" t="s">
        <v>137</v>
      </c>
      <c r="O3" t="s">
        <v>17</v>
      </c>
      <c r="P3" s="4">
        <v>46142</v>
      </c>
      <c r="Q3">
        <v>4</v>
      </c>
      <c r="R3" t="s">
        <v>278</v>
      </c>
      <c r="S3" t="s">
        <v>278</v>
      </c>
      <c r="T3" t="s">
        <v>232</v>
      </c>
      <c r="U3" t="s">
        <v>279</v>
      </c>
      <c r="V3" t="s">
        <v>290</v>
      </c>
      <c r="W3" t="s">
        <v>300</v>
      </c>
    </row>
    <row r="4" spans="1:23" x14ac:dyDescent="0.25">
      <c r="A4" t="s">
        <v>156</v>
      </c>
      <c r="B4" t="s">
        <v>327</v>
      </c>
      <c r="C4" t="s">
        <v>171</v>
      </c>
      <c r="D4" s="4">
        <v>40019</v>
      </c>
      <c r="E4">
        <v>16</v>
      </c>
      <c r="F4" t="s">
        <v>183</v>
      </c>
      <c r="G4">
        <v>8956237845</v>
      </c>
      <c r="H4" t="s">
        <v>97</v>
      </c>
      <c r="I4" t="s">
        <v>11</v>
      </c>
      <c r="J4" t="s">
        <v>67</v>
      </c>
      <c r="K4" t="s">
        <v>47</v>
      </c>
      <c r="L4" t="s">
        <v>153</v>
      </c>
      <c r="M4" t="s">
        <v>19</v>
      </c>
      <c r="N4" t="s">
        <v>135</v>
      </c>
      <c r="O4" t="s">
        <v>35</v>
      </c>
      <c r="P4" s="4">
        <v>46142</v>
      </c>
      <c r="Q4">
        <v>3</v>
      </c>
      <c r="R4" t="s">
        <v>278</v>
      </c>
      <c r="S4" t="s">
        <v>278</v>
      </c>
      <c r="T4" t="s">
        <v>244</v>
      </c>
      <c r="U4" t="s">
        <v>279</v>
      </c>
      <c r="V4" t="s">
        <v>293</v>
      </c>
      <c r="W4" t="s">
        <v>303</v>
      </c>
    </row>
    <row r="5" spans="1:23" x14ac:dyDescent="0.25">
      <c r="A5" t="s">
        <v>158</v>
      </c>
      <c r="B5" t="s">
        <v>328</v>
      </c>
      <c r="C5" t="s">
        <v>173</v>
      </c>
      <c r="D5" s="4">
        <v>41546</v>
      </c>
      <c r="E5">
        <v>12</v>
      </c>
      <c r="F5" t="s">
        <v>183</v>
      </c>
      <c r="G5">
        <v>9685968695</v>
      </c>
      <c r="H5" t="s">
        <v>121</v>
      </c>
      <c r="I5" t="s">
        <v>11</v>
      </c>
      <c r="J5" t="s">
        <v>67</v>
      </c>
      <c r="K5" t="s">
        <v>47</v>
      </c>
      <c r="L5" t="s">
        <v>155</v>
      </c>
      <c r="M5" t="s">
        <v>19</v>
      </c>
      <c r="N5" t="s">
        <v>145</v>
      </c>
      <c r="O5" t="s">
        <v>17</v>
      </c>
      <c r="P5" s="4">
        <v>46142</v>
      </c>
      <c r="Q5">
        <v>7</v>
      </c>
      <c r="R5" t="s">
        <v>278</v>
      </c>
      <c r="S5" t="s">
        <v>278</v>
      </c>
      <c r="T5" t="s">
        <v>233</v>
      </c>
      <c r="U5" t="s">
        <v>279</v>
      </c>
      <c r="V5" t="s">
        <v>293</v>
      </c>
      <c r="W5" t="s">
        <v>303</v>
      </c>
    </row>
    <row r="6" spans="1:23" x14ac:dyDescent="0.25">
      <c r="A6" t="s">
        <v>378</v>
      </c>
      <c r="B6" t="s">
        <v>377</v>
      </c>
      <c r="C6" t="s">
        <v>171</v>
      </c>
      <c r="D6" s="4">
        <v>28809</v>
      </c>
      <c r="E6">
        <v>47</v>
      </c>
      <c r="F6" t="s">
        <v>191</v>
      </c>
      <c r="G6">
        <v>9865748899</v>
      </c>
      <c r="H6" t="s">
        <v>95</v>
      </c>
      <c r="I6" t="s">
        <v>13</v>
      </c>
      <c r="J6" t="s">
        <v>75</v>
      </c>
      <c r="K6" t="s">
        <v>47</v>
      </c>
      <c r="L6" t="s">
        <v>157</v>
      </c>
      <c r="M6" t="s">
        <v>19</v>
      </c>
      <c r="N6" t="s">
        <v>143</v>
      </c>
      <c r="O6" t="s">
        <v>43</v>
      </c>
      <c r="P6" s="4">
        <v>46140</v>
      </c>
      <c r="Q6">
        <v>6</v>
      </c>
      <c r="R6" t="s">
        <v>278</v>
      </c>
      <c r="S6" t="s">
        <v>278</v>
      </c>
      <c r="T6" t="s">
        <v>236</v>
      </c>
      <c r="U6" t="s">
        <v>279</v>
      </c>
      <c r="V6" t="s">
        <v>295</v>
      </c>
      <c r="W6" t="s">
        <v>305</v>
      </c>
    </row>
    <row r="7" spans="1:23" x14ac:dyDescent="0.25">
      <c r="A7" t="s">
        <v>380</v>
      </c>
      <c r="B7" t="s">
        <v>379</v>
      </c>
      <c r="C7" t="s">
        <v>171</v>
      </c>
      <c r="D7" s="4">
        <v>33373</v>
      </c>
      <c r="E7">
        <v>34</v>
      </c>
      <c r="F7" t="s">
        <v>187</v>
      </c>
      <c r="G7">
        <v>9632587415</v>
      </c>
      <c r="H7" t="s">
        <v>115</v>
      </c>
      <c r="I7" t="s">
        <v>7</v>
      </c>
      <c r="J7" t="s">
        <v>63</v>
      </c>
      <c r="K7" t="s">
        <v>51</v>
      </c>
      <c r="L7" t="s">
        <v>157</v>
      </c>
      <c r="M7" t="s">
        <v>167</v>
      </c>
      <c r="N7" t="s">
        <v>137</v>
      </c>
      <c r="O7" t="s">
        <v>19</v>
      </c>
      <c r="P7" s="4">
        <v>46138</v>
      </c>
      <c r="Q7">
        <v>7</v>
      </c>
      <c r="R7" t="s">
        <v>278</v>
      </c>
      <c r="S7" t="s">
        <v>278</v>
      </c>
      <c r="T7" t="s">
        <v>248</v>
      </c>
      <c r="U7" t="s">
        <v>279</v>
      </c>
      <c r="V7" t="s">
        <v>291</v>
      </c>
      <c r="W7" t="s">
        <v>301</v>
      </c>
    </row>
  </sheetData>
  <conditionalFormatting sqref="A8:U102">
    <cfRule type="expression" dxfId="10" priority="1">
      <formula>$U8="Pending"</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16907-A43B-47D1-B535-8C23D2F4224C}">
  <sheetPr codeName="Sheet8"/>
  <dimension ref="A1:H7"/>
  <sheetViews>
    <sheetView workbookViewId="0">
      <selection activeCell="G7" sqref="G7"/>
    </sheetView>
  </sheetViews>
  <sheetFormatPr defaultRowHeight="15" x14ac:dyDescent="0.25"/>
  <cols>
    <col min="1" max="3" width="18.85546875" customWidth="1"/>
    <col min="4" max="4" width="21" customWidth="1"/>
    <col min="5" max="8" width="18.85546875" customWidth="1"/>
  </cols>
  <sheetData>
    <row r="1" spans="1:8" x14ac:dyDescent="0.25">
      <c r="A1" t="s">
        <v>215</v>
      </c>
      <c r="B1" t="s">
        <v>216</v>
      </c>
      <c r="C1" t="s">
        <v>201</v>
      </c>
      <c r="D1" t="s">
        <v>275</v>
      </c>
      <c r="E1" t="s">
        <v>221</v>
      </c>
      <c r="F1" t="s">
        <v>222</v>
      </c>
      <c r="G1" t="s">
        <v>276</v>
      </c>
      <c r="H1" t="s">
        <v>277</v>
      </c>
    </row>
    <row r="2" spans="1:8" x14ac:dyDescent="0.25">
      <c r="A2" t="str">
        <f>IF(Patient_Data!A2="","",Patient_Data!A2)</f>
        <v>P001</v>
      </c>
      <c r="B2" t="str">
        <f>_xlfn.XLOOKUP(Table13[[#This Row],[Patient_ID]],tbl_Patients[[#This Row],[Patient_ID]],tbl_Patients[[#This Row],[Patient_Name]],"")</f>
        <v>Tim David</v>
      </c>
      <c r="C2" t="str">
        <f>_xlfn.XLOOKUP(Table13[[#This Row],[Patient_ID]],tbl_Patients[[#This Row],[Patient_ID]],tbl_Patients[[#This Row],[Department]],"")</f>
        <v>Neurology</v>
      </c>
      <c r="D2" t="str">
        <f>_xlfn.XLOOKUP(Table13[[#This Row],[Patient_ID]],tbl_Patients[[#This Row],[Patient_ID]],tbl_Patients[[#This Row],[Bed_Type]],"")</f>
        <v>Ventilator</v>
      </c>
      <c r="E2" t="str">
        <f>_xlfn.XLOOKUP(Table13[[#This Row],[Patient_ID]],tbl_Patients[[#This Row],[Patient_ID]],tbl_Patients[[#This Row],[Emergency_Case]],"")</f>
        <v>Yes</v>
      </c>
      <c r="F2" t="str">
        <f>_xlfn.XLOOKUP(Table13[[#This Row],[Patient_ID]],tbl_Patients[[#This Row],[Patient_ID]],tbl_Patients[[#This Row],[ICU_Required]],"")</f>
        <v>Yes</v>
      </c>
      <c r="G2" t="str">
        <f>_xlfn.XLOOKUP(Table13[[#This Row],[Patient_ID]],tbl_Patients[[#This Row],[Patient_ID]],tbl_Patients[[#This Row],[Allocated_Bed_ID]],"")</f>
        <v>BED005</v>
      </c>
      <c r="H2" t="str">
        <f>_xlfn.XLOOKUP(Table13[[#This Row],[Patient_ID]],tbl_Patients[[#This Row],[Patient_ID]],tbl_Patients[[#This Row],[Allocation_Status]],"")</f>
        <v>Allocated</v>
      </c>
    </row>
    <row r="3" spans="1:8" x14ac:dyDescent="0.25">
      <c r="A3" t="str">
        <f>IF(Patient_Data!A3="","",Patient_Data!A3)</f>
        <v>P002</v>
      </c>
      <c r="B3" t="str">
        <f>_xlfn.XLOOKUP(Table13[[#This Row],[Patient_ID]],tbl_Patients[[#This Row],[Patient_ID]],tbl_Patients[[#This Row],[Patient_Name]],"")</f>
        <v>Ravi Mathur</v>
      </c>
      <c r="C3" t="str">
        <f>_xlfn.XLOOKUP(Table13[[#This Row],[Patient_ID]],tbl_Patients[[#This Row],[Patient_ID]],tbl_Patients[[#This Row],[Department]],"")</f>
        <v>Cardiology</v>
      </c>
      <c r="D3" t="str">
        <f>_xlfn.XLOOKUP(Table13[[#This Row],[Patient_ID]],tbl_Patients[[#This Row],[Patient_ID]],tbl_Patients[[#This Row],[Bed_Type]],"")</f>
        <v>ICU</v>
      </c>
      <c r="E3" t="str">
        <f>_xlfn.XLOOKUP(Table13[[#This Row],[Patient_ID]],tbl_Patients[[#This Row],[Patient_ID]],tbl_Patients[[#This Row],[Emergency_Case]],"")</f>
        <v>Yes</v>
      </c>
      <c r="F3" t="str">
        <f>_xlfn.XLOOKUP(Table13[[#This Row],[Patient_ID]],tbl_Patients[[#This Row],[Patient_ID]],tbl_Patients[[#This Row],[ICU_Required]],"")</f>
        <v>Yes</v>
      </c>
      <c r="G3" t="str">
        <f>_xlfn.XLOOKUP(Table13[[#This Row],[Patient_ID]],tbl_Patients[[#This Row],[Patient_ID]],tbl_Patients[[#This Row],[Allocated_Bed_ID]],"")</f>
        <v>BED002</v>
      </c>
      <c r="H3" t="str">
        <f>_xlfn.XLOOKUP(Table13[[#This Row],[Patient_ID]],tbl_Patients[[#This Row],[Patient_ID]],tbl_Patients[[#This Row],[Allocation_Status]],"")</f>
        <v>Allocated</v>
      </c>
    </row>
    <row r="4" spans="1:8" x14ac:dyDescent="0.25">
      <c r="A4" t="str">
        <f>IF(Patient_Data!A4="","",Patient_Data!A4)</f>
        <v>P003</v>
      </c>
      <c r="B4" t="str">
        <f>_xlfn.XLOOKUP(Table13[[#This Row],[Patient_ID]],tbl_Patients[[#This Row],[Patient_ID]],tbl_Patients[[#This Row],[Patient_Name]],"")</f>
        <v>Naman Meena</v>
      </c>
      <c r="C4" t="str">
        <f>_xlfn.XLOOKUP(Table13[[#This Row],[Patient_ID]],tbl_Patients[[#This Row],[Patient_ID]],tbl_Patients[[#This Row],[Department]],"")</f>
        <v>Pediatrics</v>
      </c>
      <c r="D4" t="str">
        <f>_xlfn.XLOOKUP(Table13[[#This Row],[Patient_ID]],tbl_Patients[[#This Row],[Patient_ID]],tbl_Patients[[#This Row],[Bed_Type]],"")</f>
        <v>General</v>
      </c>
      <c r="E4" t="str">
        <f>_xlfn.XLOOKUP(Table13[[#This Row],[Patient_ID]],tbl_Patients[[#This Row],[Patient_ID]],tbl_Patients[[#This Row],[Emergency_Case]],"")</f>
        <v>Yes</v>
      </c>
      <c r="F4" t="str">
        <f>_xlfn.XLOOKUP(Table13[[#This Row],[Patient_ID]],tbl_Patients[[#This Row],[Patient_ID]],tbl_Patients[[#This Row],[ICU_Required]],"")</f>
        <v>Yes</v>
      </c>
      <c r="G4" t="str">
        <f>_xlfn.XLOOKUP(Table13[[#This Row],[Patient_ID]],tbl_Patients[[#This Row],[Patient_ID]],tbl_Patients[[#This Row],[Allocated_Bed_ID]],"")</f>
        <v>BED014</v>
      </c>
      <c r="H4" t="str">
        <f>_xlfn.XLOOKUP(Table13[[#This Row],[Patient_ID]],tbl_Patients[[#This Row],[Patient_ID]],tbl_Patients[[#This Row],[Allocation_Status]],"")</f>
        <v>Allocated</v>
      </c>
    </row>
    <row r="5" spans="1:8" x14ac:dyDescent="0.25">
      <c r="A5" t="str">
        <f>IF(Patient_Data!A5="","",Patient_Data!A5)</f>
        <v>P004</v>
      </c>
      <c r="B5" t="str">
        <f>_xlfn.XLOOKUP(Table13[[#This Row],[Patient_ID]],tbl_Patients[[#This Row],[Patient_ID]],tbl_Patients[[#This Row],[Patient_Name]],"")</f>
        <v>Monika Jain</v>
      </c>
      <c r="C5" t="str">
        <f>_xlfn.XLOOKUP(Table13[[#This Row],[Patient_ID]],tbl_Patients[[#This Row],[Patient_ID]],tbl_Patients[[#This Row],[Department]],"")</f>
        <v>Pediatrics</v>
      </c>
      <c r="D5" t="str">
        <f>_xlfn.XLOOKUP(Table13[[#This Row],[Patient_ID]],tbl_Patients[[#This Row],[Patient_ID]],tbl_Patients[[#This Row],[Bed_Type]],"")</f>
        <v>ICU</v>
      </c>
      <c r="E5" t="str">
        <f>_xlfn.XLOOKUP(Table13[[#This Row],[Patient_ID]],tbl_Patients[[#This Row],[Patient_ID]],tbl_Patients[[#This Row],[Emergency_Case]],"")</f>
        <v>Yes</v>
      </c>
      <c r="F5" t="str">
        <f>_xlfn.XLOOKUP(Table13[[#This Row],[Patient_ID]],tbl_Patients[[#This Row],[Patient_ID]],tbl_Patients[[#This Row],[ICU_Required]],"")</f>
        <v>Yes</v>
      </c>
      <c r="G5" t="str">
        <f>_xlfn.XLOOKUP(Table13[[#This Row],[Patient_ID]],tbl_Patients[[#This Row],[Patient_ID]],tbl_Patients[[#This Row],[Allocated_Bed_ID]],"")</f>
        <v>BED003</v>
      </c>
      <c r="H5" t="str">
        <f>_xlfn.XLOOKUP(Table13[[#This Row],[Patient_ID]],tbl_Patients[[#This Row],[Patient_ID]],tbl_Patients[[#This Row],[Allocation_Status]],"")</f>
        <v>Allocated</v>
      </c>
    </row>
    <row r="6" spans="1:8" x14ac:dyDescent="0.25">
      <c r="A6" t="str">
        <f>IF(Patient_Data!A6="","",Patient_Data!A6)</f>
        <v>P005</v>
      </c>
      <c r="B6" t="str">
        <f>_xlfn.XLOOKUP(Table13[[#This Row],[Patient_ID]],tbl_Patients[[#This Row],[Patient_ID]],tbl_Patients[[#This Row],[Patient_Name]],"")</f>
        <v>Shahid Kapoor</v>
      </c>
      <c r="C6" t="str">
        <f>_xlfn.XLOOKUP(Table13[[#This Row],[Patient_ID]],tbl_Patients[[#This Row],[Patient_ID]],tbl_Patients[[#This Row],[Department]],"")</f>
        <v>Dermatology</v>
      </c>
      <c r="D6" t="str">
        <f>_xlfn.XLOOKUP(Table13[[#This Row],[Patient_ID]],tbl_Patients[[#This Row],[Patient_ID]],tbl_Patients[[#This Row],[Bed_Type]],"")</f>
        <v>Ventilator</v>
      </c>
      <c r="E6" t="str">
        <f>_xlfn.XLOOKUP(Table13[[#This Row],[Patient_ID]],tbl_Patients[[#This Row],[Patient_ID]],tbl_Patients[[#This Row],[Emergency_Case]],"")</f>
        <v>Yes</v>
      </c>
      <c r="F6" t="str">
        <f>_xlfn.XLOOKUP(Table13[[#This Row],[Patient_ID]],tbl_Patients[[#This Row],[Patient_ID]],tbl_Patients[[#This Row],[ICU_Required]],"")</f>
        <v>Yes</v>
      </c>
      <c r="G6" t="str">
        <f>_xlfn.XLOOKUP(Table13[[#This Row],[Patient_ID]],tbl_Patients[[#This Row],[Patient_ID]],tbl_Patients[[#This Row],[Allocated_Bed_ID]],"")</f>
        <v>BED006</v>
      </c>
      <c r="H6" t="str">
        <f>_xlfn.XLOOKUP(Table13[[#This Row],[Patient_ID]],tbl_Patients[[#This Row],[Patient_ID]],tbl_Patients[[#This Row],[Allocation_Status]],"")</f>
        <v>Allocated</v>
      </c>
    </row>
    <row r="7" spans="1:8" x14ac:dyDescent="0.25">
      <c r="A7" t="str">
        <f>IF(Patient_Data!A7="","",Patient_Data!A7)</f>
        <v>P006</v>
      </c>
      <c r="B7" t="str">
        <f>_xlfn.XLOOKUP(Table13[[#This Row],[Patient_ID]],tbl_Patients[[#This Row],[Patient_ID]],tbl_Patients[[#This Row],[Patient_Name]],"")</f>
        <v>Shubham Jain</v>
      </c>
      <c r="C7" t="str">
        <f>_xlfn.XLOOKUP(Table13[[#This Row],[Patient_ID]],tbl_Patients[[#This Row],[Patient_ID]],tbl_Patients[[#This Row],[Department]],"")</f>
        <v>Neurology</v>
      </c>
      <c r="D7" t="str">
        <f>_xlfn.XLOOKUP(Table13[[#This Row],[Patient_ID]],tbl_Patients[[#This Row],[Patient_ID]],tbl_Patients[[#This Row],[Bed_Type]],"")</f>
        <v>Emergency</v>
      </c>
      <c r="E7" t="str">
        <f>_xlfn.XLOOKUP(Table13[[#This Row],[Patient_ID]],tbl_Patients[[#This Row],[Patient_ID]],tbl_Patients[[#This Row],[Emergency_Case]],"")</f>
        <v>Yes</v>
      </c>
      <c r="F7" t="str">
        <f>_xlfn.XLOOKUP(Table13[[#This Row],[Patient_ID]],tbl_Patients[[#This Row],[Patient_ID]],tbl_Patients[[#This Row],[ICU_Required]],"")</f>
        <v>Yes</v>
      </c>
      <c r="G7" t="str">
        <f>_xlfn.XLOOKUP(Table13[[#This Row],[Patient_ID]],tbl_Patients[[#This Row],[Patient_ID]],tbl_Patients[[#This Row],[Allocated_Bed_ID]],"")</f>
        <v>BED018</v>
      </c>
      <c r="H7" t="str">
        <f>_xlfn.XLOOKUP(Table13[[#This Row],[Patient_ID]],tbl_Patients[[#This Row],[Patient_ID]],tbl_Patients[[#This Row],[Allocation_Status]],"")</f>
        <v>Allocated</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BA0DE-56EE-449E-8D78-96FF2B51679A}">
  <sheetPr codeName="Sheet6"/>
  <dimension ref="B3:K10"/>
  <sheetViews>
    <sheetView workbookViewId="0">
      <selection activeCell="D4" sqref="D4"/>
    </sheetView>
  </sheetViews>
  <sheetFormatPr defaultRowHeight="15" x14ac:dyDescent="0.25"/>
  <cols>
    <col min="2" max="2" width="17.85546875" bestFit="1" customWidth="1"/>
    <col min="3" max="3" width="2.42578125" customWidth="1"/>
    <col min="4" max="4" width="27.140625" customWidth="1"/>
    <col min="6" max="6" width="18.42578125" bestFit="1" customWidth="1"/>
    <col min="7" max="7" width="17.7109375" customWidth="1"/>
    <col min="10" max="10" width="19.42578125" bestFit="1" customWidth="1"/>
    <col min="11" max="11" width="19.28515625" customWidth="1"/>
  </cols>
  <sheetData>
    <row r="3" spans="2:11" x14ac:dyDescent="0.25">
      <c r="B3" s="19" t="s">
        <v>364</v>
      </c>
    </row>
    <row r="4" spans="2:11" x14ac:dyDescent="0.25">
      <c r="B4" s="20" t="s">
        <v>195</v>
      </c>
      <c r="D4" s="3" t="s">
        <v>378</v>
      </c>
      <c r="F4" s="21" t="s">
        <v>367</v>
      </c>
      <c r="G4" s="18">
        <f ca="1">_xlfn.XLOOKUP(D7,Billing_Master!A:A,Billing_Master!B:B)*D9</f>
        <v>48000</v>
      </c>
      <c r="J4" s="19" t="s">
        <v>373</v>
      </c>
      <c r="K4" s="15">
        <f>_xlfn.XLOOKUP(D10,tbl_Insurance_detail[Insurance_Type],tbl_Insurance_detail[Coverage_Percentage])</f>
        <v>0.7</v>
      </c>
    </row>
    <row r="5" spans="2:11" x14ac:dyDescent="0.25">
      <c r="B5" s="19" t="s">
        <v>196</v>
      </c>
      <c r="D5" t="str">
        <f>_xlfn.XLOOKUP(D4,Patient_Data!A:A,Patient_Data!B:B)</f>
        <v>Shahid Kapoor</v>
      </c>
      <c r="F5" s="22" t="s">
        <v>368</v>
      </c>
      <c r="G5" s="18">
        <f ca="1">IF(_xlfn.XLOOKUP(D4,Patient_Data!A:A,Patient_Data!S:S)="Yes",5000*D9,0)</f>
        <v>20000</v>
      </c>
      <c r="J5" s="23" t="s">
        <v>374</v>
      </c>
      <c r="K5">
        <f>_xlfn.XLOOKUP(D10,tbl_Insurance_detail[Insurance_Type],tbl_Insurance_detail[Max_Claim_Amount])</f>
        <v>250000</v>
      </c>
    </row>
    <row r="6" spans="2:11" x14ac:dyDescent="0.25">
      <c r="B6" s="20" t="s">
        <v>201</v>
      </c>
      <c r="D6" t="str">
        <f>_xlfn.XLOOKUP(D4,Patient_Data!A:A,Patient_Data!I:I)</f>
        <v>Dermatology</v>
      </c>
      <c r="F6" s="21" t="s">
        <v>369</v>
      </c>
      <c r="G6" s="18">
        <f>IF(_xlfn.XLOOKUP(D4,Patient_Data!A:A,Patient_Data!R:R)="Yes",2000,0)</f>
        <v>2000</v>
      </c>
      <c r="J6" s="19" t="s">
        <v>375</v>
      </c>
      <c r="K6">
        <f ca="1">MIN(G10*K4,K5)</f>
        <v>50680</v>
      </c>
    </row>
    <row r="7" spans="2:11" x14ac:dyDescent="0.25">
      <c r="B7" s="19" t="s">
        <v>365</v>
      </c>
      <c r="D7" t="str">
        <f>_xlfn.XLOOKUP(D4,Patient_Data!A:A,Patient_Data!O:O)</f>
        <v>Ventilator</v>
      </c>
      <c r="F7" s="22" t="s">
        <v>370</v>
      </c>
      <c r="G7" s="18">
        <f>_xlfn.XLOOKUP(_xlfn.XLOOKUP(D4,Patient_Data!A:A,Patient_Data!W:W),Doctor_Master!B:B,Doctor_Master!I:I)</f>
        <v>900</v>
      </c>
    </row>
    <row r="8" spans="2:11" x14ac:dyDescent="0.25">
      <c r="B8" s="20" t="s">
        <v>211</v>
      </c>
      <c r="D8" s="4">
        <f>_xlfn.XLOOKUP(D4,Patient_Data!A:A,Patient_Data!P:P)</f>
        <v>46140</v>
      </c>
      <c r="F8" s="21" t="s">
        <v>371</v>
      </c>
      <c r="G8" s="18">
        <f>1500</f>
        <v>1500</v>
      </c>
    </row>
    <row r="9" spans="2:11" x14ac:dyDescent="0.25">
      <c r="B9" s="19" t="s">
        <v>366</v>
      </c>
      <c r="D9">
        <f ca="1">TODAY()-D8</f>
        <v>4</v>
      </c>
    </row>
    <row r="10" spans="2:11" ht="15.75" x14ac:dyDescent="0.25">
      <c r="B10" s="20" t="s">
        <v>206</v>
      </c>
      <c r="D10" t="str">
        <f>_xlfn.XLOOKUP(D4,Patient_Data!A:A,Patient_Data!N:N)</f>
        <v>Corporate Insurance</v>
      </c>
      <c r="F10" s="24" t="s">
        <v>372</v>
      </c>
      <c r="G10" s="25">
        <f ca="1">SUM(G4:G8)</f>
        <v>72400</v>
      </c>
      <c r="J10" s="26" t="s">
        <v>376</v>
      </c>
      <c r="K10" s="25">
        <f ca="1">G10-K6</f>
        <v>21720</v>
      </c>
    </row>
  </sheetData>
  <sheetProtection sheet="1" objects="1" scenario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F0C32B4-90E3-440B-8BB4-5EC34DF0ECBC}">
          <x14:formula1>
            <xm:f>Patient_Data!A2:A502</xm:f>
          </x14:formula1>
          <xm:sqref>D4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C26"/>
  <sheetViews>
    <sheetView showGridLines="0" topLeftCell="A13" zoomScaleNormal="100" workbookViewId="0">
      <selection activeCell="W19" sqref="W19:AC20"/>
    </sheetView>
  </sheetViews>
  <sheetFormatPr defaultRowHeight="15" x14ac:dyDescent="0.25"/>
  <sheetData>
    <row r="1" spans="1:29" x14ac:dyDescent="0.25">
      <c r="A1" s="46" t="s">
        <v>310</v>
      </c>
      <c r="B1" s="46"/>
      <c r="C1" s="46"/>
      <c r="D1" s="46"/>
      <c r="E1" s="46"/>
      <c r="F1" s="46"/>
      <c r="G1" s="46"/>
      <c r="H1" s="46"/>
      <c r="I1" s="46"/>
      <c r="J1" s="46"/>
      <c r="K1" s="46"/>
      <c r="L1" s="46"/>
      <c r="M1" s="46"/>
      <c r="N1" s="46"/>
      <c r="O1" s="46"/>
      <c r="P1" s="46"/>
      <c r="Q1" s="46"/>
      <c r="R1" s="46"/>
      <c r="S1" s="46"/>
      <c r="T1" s="46"/>
      <c r="U1" s="46"/>
      <c r="V1" s="46"/>
      <c r="W1" s="46"/>
      <c r="X1" s="46"/>
      <c r="Y1" s="46"/>
      <c r="Z1" s="46"/>
      <c r="AA1" s="47" t="s">
        <v>311</v>
      </c>
      <c r="AB1" s="47"/>
      <c r="AC1" s="47"/>
    </row>
    <row r="2" spans="1:29" x14ac:dyDescent="0.25">
      <c r="A2" s="46"/>
      <c r="B2" s="46"/>
      <c r="C2" s="46"/>
      <c r="D2" s="46"/>
      <c r="E2" s="46"/>
      <c r="F2" s="46"/>
      <c r="G2" s="46"/>
      <c r="H2" s="46"/>
      <c r="I2" s="46"/>
      <c r="J2" s="46"/>
      <c r="K2" s="46"/>
      <c r="L2" s="46"/>
      <c r="M2" s="46"/>
      <c r="N2" s="46"/>
      <c r="O2" s="46"/>
      <c r="P2" s="46"/>
      <c r="Q2" s="46"/>
      <c r="R2" s="46"/>
      <c r="S2" s="46"/>
      <c r="T2" s="46"/>
      <c r="U2" s="46"/>
      <c r="V2" s="46"/>
      <c r="W2" s="46"/>
      <c r="X2" s="46"/>
      <c r="Y2" s="46"/>
      <c r="Z2" s="46"/>
      <c r="AA2" s="47"/>
      <c r="AB2" s="47"/>
      <c r="AC2" s="47"/>
    </row>
    <row r="3" spans="1:29" ht="15.75" x14ac:dyDescent="0.25">
      <c r="A3" s="46"/>
      <c r="B3" s="46"/>
      <c r="C3" s="46"/>
      <c r="D3" s="46"/>
      <c r="E3" s="46"/>
      <c r="F3" s="46"/>
      <c r="G3" s="46"/>
      <c r="H3" s="46"/>
      <c r="I3" s="46"/>
      <c r="J3" s="46"/>
      <c r="K3" s="46"/>
      <c r="L3" s="46"/>
      <c r="M3" s="46"/>
      <c r="N3" s="46"/>
      <c r="O3" s="46"/>
      <c r="P3" s="46"/>
      <c r="Q3" s="46"/>
      <c r="R3" s="46"/>
      <c r="S3" s="46"/>
      <c r="T3" s="46"/>
      <c r="U3" s="46"/>
      <c r="V3" s="46"/>
      <c r="W3" s="46"/>
      <c r="X3" s="46"/>
      <c r="Y3" s="46"/>
      <c r="Z3" s="46"/>
      <c r="AA3" s="48">
        <f ca="1">TODAY()</f>
        <v>46144</v>
      </c>
      <c r="AB3" s="49"/>
      <c r="AC3" s="49"/>
    </row>
    <row r="4" spans="1:29" ht="15" customHeight="1" x14ac:dyDescent="0.25">
      <c r="A4" s="5"/>
      <c r="B4" s="5"/>
      <c r="C4" s="5"/>
      <c r="D4" s="5"/>
      <c r="E4" s="5"/>
      <c r="F4" s="5"/>
      <c r="G4" s="5"/>
      <c r="H4" s="5"/>
      <c r="I4" s="5"/>
      <c r="J4" s="5"/>
      <c r="K4" s="5"/>
      <c r="L4" s="5"/>
      <c r="M4" s="5"/>
      <c r="N4" s="5"/>
      <c r="O4" s="5"/>
      <c r="P4" s="5"/>
      <c r="Q4" s="5"/>
      <c r="R4" s="5"/>
      <c r="S4" s="5"/>
      <c r="T4" s="5"/>
      <c r="U4" s="5"/>
      <c r="V4" s="5"/>
      <c r="W4" s="5"/>
      <c r="X4" s="5"/>
      <c r="Y4" s="5"/>
      <c r="Z4" s="5"/>
      <c r="AA4" s="6"/>
      <c r="AB4" s="7"/>
      <c r="AC4" s="7"/>
    </row>
    <row r="5" spans="1:29" ht="15" customHeight="1" x14ac:dyDescent="0.25">
      <c r="E5" s="8"/>
      <c r="F5" s="8"/>
      <c r="G5" s="39" t="s">
        <v>312</v>
      </c>
      <c r="H5" s="40"/>
      <c r="I5" s="41"/>
      <c r="J5" s="8"/>
      <c r="K5" s="39" t="s">
        <v>313</v>
      </c>
      <c r="L5" s="40"/>
      <c r="M5" s="41"/>
      <c r="N5" s="8"/>
      <c r="O5" s="39" t="s">
        <v>314</v>
      </c>
      <c r="P5" s="40"/>
      <c r="Q5" s="41"/>
      <c r="R5" s="8"/>
      <c r="S5" s="39" t="s">
        <v>315</v>
      </c>
      <c r="T5" s="40"/>
      <c r="U5" s="41"/>
      <c r="V5" s="8"/>
      <c r="W5" s="8"/>
      <c r="X5" s="8"/>
      <c r="Y5" s="8"/>
    </row>
    <row r="6" spans="1:29" ht="15" customHeight="1" x14ac:dyDescent="0.25">
      <c r="E6" s="8"/>
      <c r="F6" s="8"/>
      <c r="G6" s="42"/>
      <c r="H6" s="43"/>
      <c r="I6" s="44"/>
      <c r="J6" s="8"/>
      <c r="K6" s="42"/>
      <c r="L6" s="43"/>
      <c r="M6" s="44"/>
      <c r="N6" s="8"/>
      <c r="O6" s="42"/>
      <c r="P6" s="43"/>
      <c r="Q6" s="44"/>
      <c r="R6" s="8"/>
      <c r="S6" s="42"/>
      <c r="T6" s="43"/>
      <c r="U6" s="44"/>
      <c r="V6" s="8"/>
      <c r="W6" s="8"/>
      <c r="X6" s="8"/>
      <c r="Y6" s="8"/>
    </row>
    <row r="7" spans="1:29" ht="15" customHeight="1" x14ac:dyDescent="0.25">
      <c r="E7" s="9"/>
      <c r="F7" s="9"/>
      <c r="G7" s="33">
        <f>COUNTA(Patient_Data!A:A)-1</f>
        <v>6</v>
      </c>
      <c r="H7" s="34"/>
      <c r="I7" s="35"/>
      <c r="J7" s="9"/>
      <c r="K7" s="33">
        <f>COUNTIF(Bed_Master!F:F,"Occupied")</f>
        <v>6</v>
      </c>
      <c r="L7" s="34"/>
      <c r="M7" s="35"/>
      <c r="N7" s="9"/>
      <c r="O7" s="33">
        <f>COUNTIF(Bed_Master!F:F,"Available")</f>
        <v>10</v>
      </c>
      <c r="P7" s="34"/>
      <c r="Q7" s="35"/>
      <c r="R7" s="9"/>
      <c r="S7" s="33">
        <f>COUNTIF(Patient_Data!U:U,"Pending")</f>
        <v>0</v>
      </c>
      <c r="T7" s="34"/>
      <c r="U7" s="35"/>
      <c r="V7" s="9"/>
      <c r="W7" s="9"/>
      <c r="X7" s="9"/>
      <c r="Y7" s="9"/>
    </row>
    <row r="8" spans="1:29" ht="15" customHeight="1" x14ac:dyDescent="0.25">
      <c r="E8" s="9"/>
      <c r="F8" s="9"/>
      <c r="G8" s="33"/>
      <c r="H8" s="34"/>
      <c r="I8" s="35"/>
      <c r="J8" s="9"/>
      <c r="K8" s="33"/>
      <c r="L8" s="34"/>
      <c r="M8" s="35"/>
      <c r="N8" s="9"/>
      <c r="O8" s="33"/>
      <c r="P8" s="34"/>
      <c r="Q8" s="35"/>
      <c r="R8" s="9"/>
      <c r="S8" s="33"/>
      <c r="T8" s="34"/>
      <c r="U8" s="35"/>
      <c r="V8" s="9"/>
      <c r="W8" s="9"/>
      <c r="X8" s="9"/>
      <c r="Y8" s="9"/>
    </row>
    <row r="9" spans="1:29" ht="15" customHeight="1" x14ac:dyDescent="0.25">
      <c r="E9" s="9"/>
      <c r="F9" s="9"/>
      <c r="G9" s="36"/>
      <c r="H9" s="37"/>
      <c r="I9" s="38"/>
      <c r="J9" s="9"/>
      <c r="K9" s="36"/>
      <c r="L9" s="37"/>
      <c r="M9" s="38"/>
      <c r="N9" s="9"/>
      <c r="O9" s="36"/>
      <c r="P9" s="37"/>
      <c r="Q9" s="38"/>
      <c r="R9" s="9"/>
      <c r="S9" s="36"/>
      <c r="T9" s="37"/>
      <c r="U9" s="38"/>
      <c r="V9" s="9"/>
      <c r="W9" s="9"/>
      <c r="X9" s="9"/>
      <c r="Y9" s="9"/>
    </row>
    <row r="10" spans="1:29" ht="15" customHeight="1" x14ac:dyDescent="0.25">
      <c r="E10" s="9"/>
      <c r="F10" s="9"/>
      <c r="G10" s="9"/>
      <c r="H10" s="9"/>
      <c r="I10" s="9"/>
      <c r="J10" s="9"/>
      <c r="K10" s="9"/>
      <c r="L10" s="9"/>
      <c r="M10" s="9"/>
      <c r="N10" s="9"/>
      <c r="P10" s="9"/>
      <c r="Q10" s="9"/>
      <c r="R10" s="9"/>
      <c r="S10" s="9"/>
      <c r="T10" s="9"/>
      <c r="U10" s="9"/>
      <c r="V10" s="9"/>
      <c r="W10" s="9"/>
      <c r="X10" s="9"/>
      <c r="Y10" s="9"/>
    </row>
    <row r="11" spans="1:29" ht="18.75" x14ac:dyDescent="0.3">
      <c r="F11" s="10"/>
      <c r="G11" s="39" t="s">
        <v>316</v>
      </c>
      <c r="H11" s="40"/>
      <c r="I11" s="41"/>
      <c r="J11" s="10"/>
      <c r="K11" s="39" t="s">
        <v>317</v>
      </c>
      <c r="L11" s="40"/>
      <c r="M11" s="41"/>
      <c r="N11" s="10"/>
      <c r="O11" s="39" t="s">
        <v>318</v>
      </c>
      <c r="P11" s="40"/>
      <c r="Q11" s="41"/>
      <c r="S11" s="39" t="s">
        <v>319</v>
      </c>
      <c r="T11" s="40"/>
      <c r="U11" s="41"/>
      <c r="W11" s="50" t="s">
        <v>326</v>
      </c>
      <c r="X11" s="50"/>
      <c r="Y11" s="50"/>
      <c r="Z11" s="50"/>
      <c r="AA11" s="50"/>
      <c r="AB11" s="50"/>
      <c r="AC11" s="50"/>
    </row>
    <row r="12" spans="1:29" ht="15" customHeight="1" x14ac:dyDescent="0.25">
      <c r="E12" s="8"/>
      <c r="F12" s="10"/>
      <c r="G12" s="42"/>
      <c r="H12" s="43"/>
      <c r="I12" s="44"/>
      <c r="J12" s="10"/>
      <c r="K12" s="42"/>
      <c r="L12" s="43"/>
      <c r="M12" s="44"/>
      <c r="N12" s="10"/>
      <c r="O12" s="42"/>
      <c r="P12" s="43"/>
      <c r="Q12" s="44"/>
      <c r="R12" s="8"/>
      <c r="S12" s="42"/>
      <c r="T12" s="43"/>
      <c r="U12" s="44"/>
      <c r="V12" s="8"/>
      <c r="W12" s="8"/>
      <c r="X12" s="8"/>
      <c r="Y12" s="8"/>
    </row>
    <row r="13" spans="1:29" ht="15" customHeight="1" x14ac:dyDescent="0.25">
      <c r="E13" s="8"/>
      <c r="F13" s="8"/>
      <c r="G13" s="33">
        <f>COUNTA(Doctor_Master!A:A)-1</f>
        <v>10</v>
      </c>
      <c r="H13" s="34"/>
      <c r="I13" s="35"/>
      <c r="J13" s="8"/>
      <c r="K13" s="33">
        <f>COUNTIF(Doctor_Master!G:G,"Busy")</f>
        <v>1</v>
      </c>
      <c r="L13" s="34"/>
      <c r="M13" s="35"/>
      <c r="N13" s="8"/>
      <c r="O13" s="33">
        <f>COUNTIF(Patient_Data!S:S,"Yes")</f>
        <v>6</v>
      </c>
      <c r="P13" s="34"/>
      <c r="Q13" s="35"/>
      <c r="R13" s="8"/>
      <c r="S13" s="33">
        <f>COUNTIF(Patient_Data!R:R,"Yes")</f>
        <v>6</v>
      </c>
      <c r="T13" s="34"/>
      <c r="U13" s="35"/>
      <c r="V13" s="8"/>
      <c r="W13" s="45" t="str">
        <f>IF(O7&lt;5,"⚠ LOW BED AVAILABILITY","✅ Beds Availability Stable")</f>
        <v>✅ Beds Availability Stable</v>
      </c>
      <c r="X13" s="45"/>
      <c r="Y13" s="45"/>
      <c r="Z13" s="45"/>
      <c r="AA13" s="45"/>
      <c r="AB13" s="45"/>
      <c r="AC13" s="45"/>
    </row>
    <row r="14" spans="1:29" ht="15" customHeight="1" x14ac:dyDescent="0.25">
      <c r="E14" s="9"/>
      <c r="F14" s="9"/>
      <c r="G14" s="33"/>
      <c r="H14" s="34"/>
      <c r="I14" s="35"/>
      <c r="J14" s="9"/>
      <c r="K14" s="33"/>
      <c r="L14" s="34"/>
      <c r="M14" s="35"/>
      <c r="N14" s="9"/>
      <c r="O14" s="33"/>
      <c r="P14" s="34"/>
      <c r="Q14" s="35"/>
      <c r="R14" s="9"/>
      <c r="S14" s="33"/>
      <c r="T14" s="34"/>
      <c r="U14" s="35"/>
      <c r="V14" s="9"/>
      <c r="W14" s="45"/>
      <c r="X14" s="45"/>
      <c r="Y14" s="45"/>
      <c r="Z14" s="45"/>
      <c r="AA14" s="45"/>
      <c r="AB14" s="45"/>
      <c r="AC14" s="45"/>
    </row>
    <row r="15" spans="1:29" ht="15" customHeight="1" x14ac:dyDescent="0.25">
      <c r="E15" s="9"/>
      <c r="F15" s="9"/>
      <c r="G15" s="36"/>
      <c r="H15" s="37"/>
      <c r="I15" s="38"/>
      <c r="J15" s="9"/>
      <c r="K15" s="36"/>
      <c r="L15" s="37"/>
      <c r="M15" s="38"/>
      <c r="N15" s="9"/>
      <c r="O15" s="36"/>
      <c r="P15" s="37"/>
      <c r="Q15" s="38"/>
      <c r="R15" s="9"/>
      <c r="S15" s="36"/>
      <c r="T15" s="37"/>
      <c r="U15" s="38"/>
      <c r="V15" s="9"/>
      <c r="W15" s="9"/>
      <c r="X15" s="9"/>
      <c r="Y15" s="9"/>
    </row>
    <row r="16" spans="1:29" ht="15" customHeight="1" x14ac:dyDescent="0.25">
      <c r="E16" s="9"/>
      <c r="F16" s="9"/>
      <c r="G16" s="9"/>
      <c r="H16" s="9"/>
      <c r="I16" s="9"/>
      <c r="J16" s="9"/>
      <c r="K16" s="9"/>
      <c r="L16" s="9"/>
      <c r="M16" s="9"/>
      <c r="N16" s="9"/>
      <c r="P16" s="9"/>
      <c r="Q16" s="9"/>
      <c r="R16" s="9"/>
      <c r="S16" s="9"/>
      <c r="T16" s="9"/>
      <c r="U16" s="9"/>
      <c r="V16" s="9"/>
      <c r="W16" s="45" t="str">
        <f>IF(K13&gt;=3,"⚠ DOCTORS REACHING MAX CAPACITY","✅ Doctor Workload Normal")</f>
        <v>✅ Doctor Workload Normal</v>
      </c>
      <c r="X16" s="45"/>
      <c r="Y16" s="45"/>
      <c r="Z16" s="45"/>
      <c r="AA16" s="45"/>
      <c r="AB16" s="45"/>
      <c r="AC16" s="45"/>
    </row>
    <row r="17" spans="5:29" ht="15" customHeight="1" x14ac:dyDescent="0.25">
      <c r="E17" s="9"/>
      <c r="F17" s="9"/>
      <c r="G17" s="9"/>
      <c r="H17" s="9"/>
      <c r="I17" s="9"/>
      <c r="J17" s="9"/>
      <c r="K17" s="9"/>
      <c r="L17" s="9"/>
      <c r="M17" s="9"/>
      <c r="N17" s="9"/>
      <c r="P17" s="9"/>
      <c r="Q17" s="9"/>
      <c r="R17" s="9"/>
      <c r="S17" s="9"/>
      <c r="T17" s="9"/>
      <c r="U17" s="9"/>
      <c r="V17" s="9"/>
      <c r="W17" s="45"/>
      <c r="X17" s="45"/>
      <c r="Y17" s="45"/>
      <c r="Z17" s="45"/>
      <c r="AA17" s="45"/>
      <c r="AB17" s="45"/>
      <c r="AC17" s="45"/>
    </row>
    <row r="19" spans="5:29" x14ac:dyDescent="0.25">
      <c r="W19" s="45" t="str">
        <f>IF(O13&gt;=10,"⚠ HIGH ICU DEMAND","✅ ICU Capacity Under Control")</f>
        <v>✅ ICU Capacity Under Control</v>
      </c>
      <c r="X19" s="45"/>
      <c r="Y19" s="45"/>
      <c r="Z19" s="45"/>
      <c r="AA19" s="45"/>
      <c r="AB19" s="45"/>
      <c r="AC19" s="45"/>
    </row>
    <row r="20" spans="5:29" x14ac:dyDescent="0.25">
      <c r="W20" s="45"/>
      <c r="X20" s="45"/>
      <c r="Y20" s="45"/>
      <c r="Z20" s="45"/>
      <c r="AA20" s="45"/>
      <c r="AB20" s="45"/>
      <c r="AC20" s="45"/>
    </row>
    <row r="22" spans="5:29" x14ac:dyDescent="0.25">
      <c r="W22" s="45" t="str">
        <f>IF(S7&gt;0,"⚠ PENDING BED ALLOCATION EXISTS","✅ All Patients Allocated")</f>
        <v>✅ All Patients Allocated</v>
      </c>
      <c r="X22" s="45"/>
      <c r="Y22" s="45"/>
      <c r="Z22" s="45"/>
      <c r="AA22" s="45"/>
      <c r="AB22" s="45"/>
      <c r="AC22" s="45"/>
    </row>
    <row r="23" spans="5:29" x14ac:dyDescent="0.25">
      <c r="W23" s="45"/>
      <c r="X23" s="45"/>
      <c r="Y23" s="45"/>
      <c r="Z23" s="45"/>
      <c r="AA23" s="45"/>
      <c r="AB23" s="45"/>
      <c r="AC23" s="45"/>
    </row>
    <row r="25" spans="5:29" x14ac:dyDescent="0.25">
      <c r="W25" s="45" t="str">
        <f>IF(S13&gt;=10,"⚠ HIGH EMERGENCY CASE LOAD","✅ Emergency Cases Normal")</f>
        <v>✅ Emergency Cases Normal</v>
      </c>
      <c r="X25" s="45"/>
      <c r="Y25" s="45"/>
      <c r="Z25" s="45"/>
      <c r="AA25" s="45"/>
      <c r="AB25" s="45"/>
      <c r="AC25" s="45"/>
    </row>
    <row r="26" spans="5:29" x14ac:dyDescent="0.25">
      <c r="W26" s="45"/>
      <c r="X26" s="45"/>
      <c r="Y26" s="45"/>
      <c r="Z26" s="45"/>
      <c r="AA26" s="45"/>
      <c r="AB26" s="45"/>
      <c r="AC26" s="45"/>
    </row>
  </sheetData>
  <mergeCells count="25">
    <mergeCell ref="W16:AC17"/>
    <mergeCell ref="W19:AC20"/>
    <mergeCell ref="W22:AC23"/>
    <mergeCell ref="W25:AC26"/>
    <mergeCell ref="A1:Z3"/>
    <mergeCell ref="AA1:AC2"/>
    <mergeCell ref="AA3:AC3"/>
    <mergeCell ref="W11:AC11"/>
    <mergeCell ref="W13:AC14"/>
    <mergeCell ref="G5:I6"/>
    <mergeCell ref="G7:I9"/>
    <mergeCell ref="K7:M9"/>
    <mergeCell ref="O7:Q9"/>
    <mergeCell ref="S7:U9"/>
    <mergeCell ref="O5:Q6"/>
    <mergeCell ref="S5:U6"/>
    <mergeCell ref="G13:I15"/>
    <mergeCell ref="K13:M15"/>
    <mergeCell ref="O13:Q15"/>
    <mergeCell ref="S13:U15"/>
    <mergeCell ref="K5:M6"/>
    <mergeCell ref="G11:I12"/>
    <mergeCell ref="K11:M12"/>
    <mergeCell ref="O11:Q12"/>
    <mergeCell ref="S11:U12"/>
  </mergeCells>
  <conditionalFormatting sqref="W13:AC14">
    <cfRule type="expression" dxfId="9" priority="9">
      <formula>ISNUMBER(SEARCH("⚠",W13))</formula>
    </cfRule>
    <cfRule type="expression" dxfId="8" priority="10">
      <formula>ISNUMBER(SEARCH("✅",W13))</formula>
    </cfRule>
  </conditionalFormatting>
  <conditionalFormatting sqref="W16:AC17">
    <cfRule type="expression" dxfId="7" priority="7">
      <formula>ISNUMBER(SEARCH("⚠",W16))</formula>
    </cfRule>
    <cfRule type="expression" dxfId="6" priority="8">
      <formula>ISNUMBER(SEARCH("✅",W16))</formula>
    </cfRule>
  </conditionalFormatting>
  <conditionalFormatting sqref="W19:AC20">
    <cfRule type="expression" dxfId="5" priority="5">
      <formula>ISNUMBER(SEARCH("⚠",W19))</formula>
    </cfRule>
    <cfRule type="expression" dxfId="4" priority="6">
      <formula>ISNUMBER(SEARCH("✅",W19))</formula>
    </cfRule>
  </conditionalFormatting>
  <conditionalFormatting sqref="W22:AC23">
    <cfRule type="expression" dxfId="3" priority="3">
      <formula>ISNUMBER(SEARCH("⚠",W22))</formula>
    </cfRule>
    <cfRule type="expression" dxfId="2" priority="4">
      <formula>ISNUMBER(SEARCH("✅",W22))</formula>
    </cfRule>
  </conditionalFormatting>
  <conditionalFormatting sqref="W25:AC26">
    <cfRule type="expression" dxfId="1" priority="1">
      <formula>ISNUMBER(SEARCH("⚠",W25))</formula>
    </cfRule>
    <cfRule type="expression" dxfId="0" priority="2">
      <formula>ISNUMBER(SEARCH("✅",W25))</formula>
    </cfRule>
  </conditionalFormatting>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Pivot_Data</vt:lpstr>
      <vt:lpstr>Master_Data</vt:lpstr>
      <vt:lpstr>Doctor_Master</vt:lpstr>
      <vt:lpstr>Bed_Master</vt:lpstr>
      <vt:lpstr>Billing_Master</vt:lpstr>
      <vt:lpstr>Insurance_Master</vt:lpstr>
      <vt:lpstr>Patient_Form</vt:lpstr>
      <vt:lpstr>Patient_Data</vt:lpstr>
      <vt:lpstr>Allocation_Engine</vt:lpstr>
      <vt:lpstr>Billing_Logic</vt:lpstr>
      <vt:lpstr>Hospital_Dashboard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Anshul</dc:creator>
  <cp:lastModifiedBy>Anshu Soni</cp:lastModifiedBy>
  <dcterms:created xsi:type="dcterms:W3CDTF">2015-06-05T18:17:20Z</dcterms:created>
  <dcterms:modified xsi:type="dcterms:W3CDTF">2026-05-01T18:36:59Z</dcterms:modified>
</cp:coreProperties>
</file>